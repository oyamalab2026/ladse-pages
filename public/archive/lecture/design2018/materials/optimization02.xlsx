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ra\Desktop\2018年度_【講義】航空宇宙設計最適化\授業のスライド\"/>
    </mc:Choice>
  </mc:AlternateContent>
  <xr:revisionPtr revIDLastSave="0" documentId="13_ncr:1_{320AC09B-138D-4064-9208-002E4903B9AD}" xr6:coauthVersionLast="31" xr6:coauthVersionMax="31" xr10:uidLastSave="{00000000-0000-0000-0000-000000000000}"/>
  <bookViews>
    <workbookView xWindow="0" yWindow="0" windowWidth="19200" windowHeight="8085" tabRatio="824" activeTab="7" xr2:uid="{7441CEE1-9931-4396-B315-A41D18587805}"/>
  </bookViews>
  <sheets>
    <sheet name="function" sheetId="2" r:id="rId1"/>
    <sheet name="GM(0)" sheetId="7" r:id="rId2"/>
    <sheet name="GM(1)" sheetId="4" r:id="rId3"/>
    <sheet name="GM(2)" sheetId="5" r:id="rId4"/>
    <sheet name="GM(3)" sheetId="6" r:id="rId5"/>
    <sheet name="GM(4)" sheetId="3" r:id="rId6"/>
    <sheet name="GM(5)" sheetId="1" r:id="rId7"/>
    <sheet name="example2" sheetId="13" r:id="rId8"/>
    <sheet name="SA(1)" sheetId="9" r:id="rId9"/>
    <sheet name="exp" sheetId="10" r:id="rId10"/>
    <sheet name="SA(2)" sheetId="11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3" l="1"/>
  <c r="B11" i="13"/>
  <c r="G11" i="13" s="1"/>
  <c r="B12" i="13" s="1"/>
  <c r="A11" i="13"/>
  <c r="D11" i="13" s="1"/>
  <c r="C3" i="13"/>
  <c r="D3" i="13"/>
  <c r="F3" i="13" s="1"/>
  <c r="E3" i="13"/>
  <c r="G3" i="13" s="1"/>
  <c r="B4" i="13" s="1"/>
  <c r="E4" i="13" s="1"/>
  <c r="G4" i="13" s="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P389" i="11"/>
  <c r="H389" i="11"/>
  <c r="E389" i="11"/>
  <c r="P388" i="11"/>
  <c r="H388" i="11"/>
  <c r="E388" i="11"/>
  <c r="P387" i="11"/>
  <c r="H387" i="11"/>
  <c r="E387" i="11"/>
  <c r="P386" i="11"/>
  <c r="H386" i="11"/>
  <c r="E386" i="11"/>
  <c r="P385" i="11"/>
  <c r="H385" i="11"/>
  <c r="E385" i="11"/>
  <c r="P384" i="11"/>
  <c r="H384" i="11"/>
  <c r="E384" i="11"/>
  <c r="P383" i="11"/>
  <c r="H383" i="11"/>
  <c r="E383" i="11"/>
  <c r="P382" i="11"/>
  <c r="H382" i="11"/>
  <c r="E382" i="11"/>
  <c r="P381" i="11"/>
  <c r="H381" i="11"/>
  <c r="E381" i="11"/>
  <c r="P380" i="11"/>
  <c r="H380" i="11"/>
  <c r="E380" i="11"/>
  <c r="P379" i="11"/>
  <c r="H379" i="11"/>
  <c r="E379" i="11"/>
  <c r="P378" i="11"/>
  <c r="H378" i="11"/>
  <c r="E378" i="11"/>
  <c r="P377" i="11"/>
  <c r="H377" i="11"/>
  <c r="E377" i="11"/>
  <c r="P376" i="11"/>
  <c r="H376" i="11"/>
  <c r="E376" i="11"/>
  <c r="P375" i="11"/>
  <c r="H375" i="11"/>
  <c r="E375" i="11"/>
  <c r="P374" i="11"/>
  <c r="H374" i="11"/>
  <c r="E374" i="11"/>
  <c r="P373" i="11"/>
  <c r="H373" i="11"/>
  <c r="E373" i="11"/>
  <c r="P372" i="11"/>
  <c r="H372" i="11"/>
  <c r="E372" i="11"/>
  <c r="P371" i="11"/>
  <c r="H371" i="11"/>
  <c r="E371" i="11"/>
  <c r="P370" i="11"/>
  <c r="H370" i="11"/>
  <c r="E370" i="11"/>
  <c r="P369" i="11"/>
  <c r="H369" i="11"/>
  <c r="E369" i="11"/>
  <c r="P368" i="11"/>
  <c r="H368" i="11"/>
  <c r="E368" i="11"/>
  <c r="P367" i="11"/>
  <c r="H367" i="11"/>
  <c r="E367" i="11"/>
  <c r="P366" i="11"/>
  <c r="H366" i="11"/>
  <c r="E366" i="11"/>
  <c r="P365" i="11"/>
  <c r="H365" i="11"/>
  <c r="E365" i="11"/>
  <c r="P364" i="11"/>
  <c r="H364" i="11"/>
  <c r="E364" i="11"/>
  <c r="P363" i="11"/>
  <c r="H363" i="11"/>
  <c r="E363" i="11"/>
  <c r="P362" i="11"/>
  <c r="H362" i="11"/>
  <c r="E362" i="11"/>
  <c r="P361" i="11"/>
  <c r="H361" i="11"/>
  <c r="E361" i="11"/>
  <c r="P360" i="11"/>
  <c r="H360" i="11"/>
  <c r="E360" i="11"/>
  <c r="P359" i="11"/>
  <c r="H359" i="11"/>
  <c r="E359" i="11"/>
  <c r="P358" i="11"/>
  <c r="H358" i="11"/>
  <c r="E358" i="11"/>
  <c r="P357" i="11"/>
  <c r="H357" i="11"/>
  <c r="E357" i="11"/>
  <c r="P356" i="11"/>
  <c r="H356" i="11"/>
  <c r="E356" i="11"/>
  <c r="P355" i="11"/>
  <c r="H355" i="11"/>
  <c r="E355" i="11"/>
  <c r="P354" i="11"/>
  <c r="H354" i="11"/>
  <c r="E354" i="11"/>
  <c r="P353" i="11"/>
  <c r="H353" i="11"/>
  <c r="E353" i="11"/>
  <c r="P352" i="11"/>
  <c r="H352" i="11"/>
  <c r="E352" i="11"/>
  <c r="P351" i="11"/>
  <c r="H351" i="11"/>
  <c r="E351" i="11"/>
  <c r="P350" i="11"/>
  <c r="H350" i="11"/>
  <c r="E350" i="11"/>
  <c r="P349" i="11"/>
  <c r="H349" i="11"/>
  <c r="E349" i="11"/>
  <c r="P348" i="11"/>
  <c r="H348" i="11"/>
  <c r="E348" i="11"/>
  <c r="P347" i="11"/>
  <c r="H347" i="11"/>
  <c r="E347" i="11"/>
  <c r="P346" i="11"/>
  <c r="H346" i="11"/>
  <c r="E346" i="11"/>
  <c r="P345" i="11"/>
  <c r="H345" i="11"/>
  <c r="E345" i="11"/>
  <c r="P344" i="11"/>
  <c r="H344" i="11"/>
  <c r="E344" i="11"/>
  <c r="P343" i="11"/>
  <c r="H343" i="11"/>
  <c r="E343" i="11"/>
  <c r="P342" i="11"/>
  <c r="H342" i="11"/>
  <c r="E342" i="11"/>
  <c r="P341" i="11"/>
  <c r="H341" i="11"/>
  <c r="E341" i="11"/>
  <c r="P340" i="11"/>
  <c r="H340" i="11"/>
  <c r="E340" i="11"/>
  <c r="P339" i="11"/>
  <c r="H339" i="11"/>
  <c r="E339" i="11"/>
  <c r="P338" i="11"/>
  <c r="H338" i="11"/>
  <c r="E338" i="11"/>
  <c r="P337" i="11"/>
  <c r="H337" i="11"/>
  <c r="E337" i="11"/>
  <c r="P336" i="11"/>
  <c r="H336" i="11"/>
  <c r="E336" i="11"/>
  <c r="P335" i="11"/>
  <c r="H335" i="11"/>
  <c r="E335" i="11"/>
  <c r="P334" i="11"/>
  <c r="H334" i="11"/>
  <c r="E334" i="11"/>
  <c r="P333" i="11"/>
  <c r="H333" i="11"/>
  <c r="E333" i="11"/>
  <c r="P332" i="11"/>
  <c r="H332" i="11"/>
  <c r="E332" i="11"/>
  <c r="P331" i="11"/>
  <c r="H331" i="11"/>
  <c r="E331" i="11"/>
  <c r="P330" i="11"/>
  <c r="H330" i="11"/>
  <c r="E330" i="11"/>
  <c r="P329" i="11"/>
  <c r="H329" i="11"/>
  <c r="E329" i="11"/>
  <c r="P328" i="11"/>
  <c r="H328" i="11"/>
  <c r="E328" i="11"/>
  <c r="P327" i="11"/>
  <c r="H327" i="11"/>
  <c r="E327" i="11"/>
  <c r="P326" i="11"/>
  <c r="H326" i="11"/>
  <c r="E326" i="11"/>
  <c r="P325" i="11"/>
  <c r="H325" i="11"/>
  <c r="E325" i="11"/>
  <c r="P324" i="11"/>
  <c r="H324" i="11"/>
  <c r="E324" i="11"/>
  <c r="P323" i="11"/>
  <c r="H323" i="11"/>
  <c r="E323" i="11"/>
  <c r="P322" i="11"/>
  <c r="H322" i="11"/>
  <c r="E322" i="11"/>
  <c r="P321" i="11"/>
  <c r="H321" i="11"/>
  <c r="E321" i="11"/>
  <c r="P320" i="11"/>
  <c r="H320" i="11"/>
  <c r="E320" i="11"/>
  <c r="P319" i="11"/>
  <c r="H319" i="11"/>
  <c r="E319" i="11"/>
  <c r="P318" i="11"/>
  <c r="H318" i="11"/>
  <c r="E318" i="11"/>
  <c r="P317" i="11"/>
  <c r="H317" i="11"/>
  <c r="E317" i="11"/>
  <c r="P316" i="11"/>
  <c r="H316" i="11"/>
  <c r="E316" i="11"/>
  <c r="P315" i="11"/>
  <c r="H315" i="11"/>
  <c r="E315" i="11"/>
  <c r="P314" i="11"/>
  <c r="H314" i="11"/>
  <c r="E314" i="11"/>
  <c r="P313" i="11"/>
  <c r="H313" i="11"/>
  <c r="E313" i="11"/>
  <c r="P312" i="11"/>
  <c r="H312" i="11"/>
  <c r="E312" i="11"/>
  <c r="P311" i="11"/>
  <c r="H311" i="11"/>
  <c r="E311" i="11"/>
  <c r="P310" i="11"/>
  <c r="H310" i="11"/>
  <c r="E310" i="11"/>
  <c r="P309" i="11"/>
  <c r="H309" i="11"/>
  <c r="E309" i="11"/>
  <c r="P308" i="11"/>
  <c r="H308" i="11"/>
  <c r="E308" i="11"/>
  <c r="P307" i="11"/>
  <c r="H307" i="11"/>
  <c r="E307" i="11"/>
  <c r="P306" i="11"/>
  <c r="H306" i="11"/>
  <c r="E306" i="11"/>
  <c r="P305" i="11"/>
  <c r="H305" i="11"/>
  <c r="E305" i="11"/>
  <c r="P304" i="11"/>
  <c r="H304" i="11"/>
  <c r="E304" i="11"/>
  <c r="P303" i="11"/>
  <c r="H303" i="11"/>
  <c r="E303" i="11"/>
  <c r="P302" i="11"/>
  <c r="H302" i="11"/>
  <c r="E302" i="11"/>
  <c r="P301" i="11"/>
  <c r="H301" i="11"/>
  <c r="E301" i="11"/>
  <c r="P300" i="11"/>
  <c r="H300" i="11"/>
  <c r="E300" i="11"/>
  <c r="P299" i="11"/>
  <c r="H299" i="11"/>
  <c r="E299" i="11"/>
  <c r="P298" i="11"/>
  <c r="H298" i="11"/>
  <c r="E298" i="11"/>
  <c r="P297" i="11"/>
  <c r="H297" i="11"/>
  <c r="E297" i="11"/>
  <c r="P296" i="11"/>
  <c r="H296" i="11"/>
  <c r="E296" i="11"/>
  <c r="P295" i="11"/>
  <c r="H295" i="11"/>
  <c r="E295" i="11"/>
  <c r="P294" i="11"/>
  <c r="H294" i="11"/>
  <c r="E294" i="11"/>
  <c r="P293" i="11"/>
  <c r="H293" i="11"/>
  <c r="E293" i="11"/>
  <c r="P292" i="11"/>
  <c r="H292" i="11"/>
  <c r="E292" i="11"/>
  <c r="P291" i="11"/>
  <c r="H291" i="11"/>
  <c r="E291" i="11"/>
  <c r="P290" i="11"/>
  <c r="H290" i="11"/>
  <c r="E290" i="11"/>
  <c r="P289" i="11"/>
  <c r="H289" i="11"/>
  <c r="E289" i="11"/>
  <c r="P288" i="11"/>
  <c r="H288" i="11"/>
  <c r="E288" i="11"/>
  <c r="P287" i="11"/>
  <c r="H287" i="11"/>
  <c r="E287" i="11"/>
  <c r="P286" i="11"/>
  <c r="H286" i="11"/>
  <c r="E286" i="11"/>
  <c r="P285" i="11"/>
  <c r="H285" i="11"/>
  <c r="E285" i="11"/>
  <c r="P284" i="11"/>
  <c r="H284" i="11"/>
  <c r="E284" i="11"/>
  <c r="P283" i="11"/>
  <c r="H283" i="11"/>
  <c r="E283" i="11"/>
  <c r="P282" i="11"/>
  <c r="H282" i="11"/>
  <c r="E282" i="11"/>
  <c r="P281" i="11"/>
  <c r="H281" i="11"/>
  <c r="E281" i="11"/>
  <c r="P280" i="11"/>
  <c r="H280" i="11"/>
  <c r="E280" i="11"/>
  <c r="P279" i="11"/>
  <c r="H279" i="11"/>
  <c r="E279" i="11"/>
  <c r="P278" i="11"/>
  <c r="H278" i="11"/>
  <c r="E278" i="11"/>
  <c r="P277" i="11"/>
  <c r="H277" i="11"/>
  <c r="E277" i="11"/>
  <c r="P276" i="11"/>
  <c r="H276" i="11"/>
  <c r="E276" i="11"/>
  <c r="P275" i="11"/>
  <c r="H275" i="11"/>
  <c r="E275" i="11"/>
  <c r="P274" i="11"/>
  <c r="H274" i="11"/>
  <c r="E274" i="11"/>
  <c r="P273" i="11"/>
  <c r="H273" i="11"/>
  <c r="E273" i="11"/>
  <c r="P272" i="11"/>
  <c r="H272" i="11"/>
  <c r="E272" i="11"/>
  <c r="P271" i="11"/>
  <c r="H271" i="11"/>
  <c r="E271" i="11"/>
  <c r="P270" i="11"/>
  <c r="H270" i="11"/>
  <c r="E270" i="11"/>
  <c r="P269" i="11"/>
  <c r="H269" i="11"/>
  <c r="E269" i="11"/>
  <c r="P268" i="11"/>
  <c r="H268" i="11"/>
  <c r="E268" i="11"/>
  <c r="P267" i="11"/>
  <c r="H267" i="11"/>
  <c r="E267" i="11"/>
  <c r="P266" i="11"/>
  <c r="H266" i="11"/>
  <c r="E266" i="11"/>
  <c r="P265" i="11"/>
  <c r="H265" i="11"/>
  <c r="E265" i="11"/>
  <c r="P264" i="11"/>
  <c r="H264" i="11"/>
  <c r="E264" i="11"/>
  <c r="P263" i="11"/>
  <c r="H263" i="11"/>
  <c r="E263" i="11"/>
  <c r="P262" i="11"/>
  <c r="H262" i="11"/>
  <c r="E262" i="11"/>
  <c r="P261" i="11"/>
  <c r="H261" i="11"/>
  <c r="E261" i="11"/>
  <c r="P260" i="11"/>
  <c r="H260" i="11"/>
  <c r="E260" i="11"/>
  <c r="P259" i="11"/>
  <c r="H259" i="11"/>
  <c r="E259" i="11"/>
  <c r="P258" i="11"/>
  <c r="H258" i="11"/>
  <c r="E258" i="11"/>
  <c r="P257" i="11"/>
  <c r="H257" i="11"/>
  <c r="E257" i="11"/>
  <c r="P256" i="11"/>
  <c r="H256" i="11"/>
  <c r="E256" i="11"/>
  <c r="P255" i="11"/>
  <c r="H255" i="11"/>
  <c r="E255" i="11"/>
  <c r="P254" i="11"/>
  <c r="H254" i="11"/>
  <c r="E254" i="11"/>
  <c r="P253" i="11"/>
  <c r="H253" i="11"/>
  <c r="E253" i="11"/>
  <c r="P252" i="11"/>
  <c r="H252" i="11"/>
  <c r="E252" i="11"/>
  <c r="P251" i="11"/>
  <c r="H251" i="11"/>
  <c r="E251" i="11"/>
  <c r="P250" i="11"/>
  <c r="H250" i="11"/>
  <c r="E250" i="11"/>
  <c r="P249" i="11"/>
  <c r="H249" i="11"/>
  <c r="E249" i="11"/>
  <c r="P248" i="11"/>
  <c r="H248" i="11"/>
  <c r="E248" i="11"/>
  <c r="P247" i="11"/>
  <c r="H247" i="11"/>
  <c r="E247" i="11"/>
  <c r="P246" i="11"/>
  <c r="H246" i="11"/>
  <c r="E246" i="11"/>
  <c r="P245" i="11"/>
  <c r="H245" i="11"/>
  <c r="E245" i="11"/>
  <c r="P244" i="11"/>
  <c r="H244" i="11"/>
  <c r="E244" i="11"/>
  <c r="P243" i="11"/>
  <c r="H243" i="11"/>
  <c r="E243" i="11"/>
  <c r="P242" i="11"/>
  <c r="H242" i="11"/>
  <c r="E242" i="11"/>
  <c r="P241" i="11"/>
  <c r="H241" i="11"/>
  <c r="E241" i="11"/>
  <c r="P240" i="11"/>
  <c r="H240" i="11"/>
  <c r="E240" i="11"/>
  <c r="P239" i="11"/>
  <c r="H239" i="11"/>
  <c r="E239" i="11"/>
  <c r="P238" i="11"/>
  <c r="H238" i="11"/>
  <c r="E238" i="11"/>
  <c r="P237" i="11"/>
  <c r="H237" i="11"/>
  <c r="E237" i="11"/>
  <c r="P236" i="11"/>
  <c r="H236" i="11"/>
  <c r="E236" i="11"/>
  <c r="P235" i="11"/>
  <c r="H235" i="11"/>
  <c r="E235" i="11"/>
  <c r="P234" i="11"/>
  <c r="H234" i="11"/>
  <c r="E234" i="11"/>
  <c r="P233" i="11"/>
  <c r="H233" i="11"/>
  <c r="E233" i="11"/>
  <c r="P232" i="11"/>
  <c r="H232" i="11"/>
  <c r="E232" i="11"/>
  <c r="P231" i="11"/>
  <c r="H231" i="11"/>
  <c r="E231" i="11"/>
  <c r="P230" i="11"/>
  <c r="H230" i="11"/>
  <c r="E230" i="11"/>
  <c r="P229" i="11"/>
  <c r="H229" i="11"/>
  <c r="E229" i="11"/>
  <c r="P228" i="11"/>
  <c r="H228" i="11"/>
  <c r="E228" i="11"/>
  <c r="P227" i="11"/>
  <c r="H227" i="11"/>
  <c r="E227" i="11"/>
  <c r="P226" i="11"/>
  <c r="H226" i="11"/>
  <c r="E226" i="11"/>
  <c r="P225" i="11"/>
  <c r="H225" i="11"/>
  <c r="E225" i="11"/>
  <c r="P224" i="11"/>
  <c r="H224" i="11"/>
  <c r="E224" i="11"/>
  <c r="P223" i="11"/>
  <c r="H223" i="11"/>
  <c r="E223" i="11"/>
  <c r="P222" i="11"/>
  <c r="H222" i="11"/>
  <c r="E222" i="11"/>
  <c r="P221" i="11"/>
  <c r="H221" i="11"/>
  <c r="E221" i="11"/>
  <c r="P220" i="11"/>
  <c r="H220" i="11"/>
  <c r="E220" i="11"/>
  <c r="P219" i="11"/>
  <c r="H219" i="11"/>
  <c r="E219" i="11"/>
  <c r="P218" i="11"/>
  <c r="H218" i="11"/>
  <c r="E218" i="11"/>
  <c r="P217" i="11"/>
  <c r="H217" i="11"/>
  <c r="E217" i="11"/>
  <c r="P216" i="11"/>
  <c r="H216" i="11"/>
  <c r="E216" i="11"/>
  <c r="P215" i="11"/>
  <c r="H215" i="11"/>
  <c r="E215" i="11"/>
  <c r="P214" i="11"/>
  <c r="H214" i="11"/>
  <c r="E214" i="11"/>
  <c r="P213" i="11"/>
  <c r="H213" i="11"/>
  <c r="E213" i="11"/>
  <c r="P212" i="11"/>
  <c r="H212" i="11"/>
  <c r="E212" i="11"/>
  <c r="P211" i="11"/>
  <c r="H211" i="11"/>
  <c r="E211" i="11"/>
  <c r="P210" i="11"/>
  <c r="H210" i="11"/>
  <c r="E210" i="11"/>
  <c r="P209" i="11"/>
  <c r="H209" i="11"/>
  <c r="E209" i="11"/>
  <c r="P208" i="11"/>
  <c r="H208" i="11"/>
  <c r="E208" i="11"/>
  <c r="P207" i="11"/>
  <c r="H207" i="11"/>
  <c r="E207" i="11"/>
  <c r="P206" i="11"/>
  <c r="H206" i="11"/>
  <c r="E206" i="11"/>
  <c r="P205" i="11"/>
  <c r="H205" i="11"/>
  <c r="E205" i="11"/>
  <c r="P204" i="11"/>
  <c r="H204" i="11"/>
  <c r="E204" i="11"/>
  <c r="P203" i="11"/>
  <c r="H203" i="11"/>
  <c r="E203" i="11"/>
  <c r="P202" i="11"/>
  <c r="H202" i="11"/>
  <c r="E202" i="11"/>
  <c r="P201" i="11"/>
  <c r="H201" i="11"/>
  <c r="E201" i="11"/>
  <c r="P200" i="11"/>
  <c r="H200" i="11"/>
  <c r="E200" i="11"/>
  <c r="P199" i="11"/>
  <c r="H199" i="11"/>
  <c r="E199" i="11"/>
  <c r="P198" i="11"/>
  <c r="H198" i="11"/>
  <c r="E198" i="11"/>
  <c r="P197" i="11"/>
  <c r="H197" i="11"/>
  <c r="E197" i="11"/>
  <c r="P196" i="11"/>
  <c r="H196" i="11"/>
  <c r="E196" i="11"/>
  <c r="P195" i="11"/>
  <c r="H195" i="11"/>
  <c r="E195" i="11"/>
  <c r="P194" i="11"/>
  <c r="H194" i="11"/>
  <c r="E194" i="11"/>
  <c r="P193" i="11"/>
  <c r="H193" i="11"/>
  <c r="E193" i="11"/>
  <c r="P192" i="11"/>
  <c r="H192" i="11"/>
  <c r="E192" i="11"/>
  <c r="P191" i="11"/>
  <c r="H191" i="11"/>
  <c r="E191" i="11"/>
  <c r="P190" i="11"/>
  <c r="H190" i="11"/>
  <c r="E190" i="11"/>
  <c r="P189" i="11"/>
  <c r="H189" i="11"/>
  <c r="E189" i="11"/>
  <c r="P188" i="11"/>
  <c r="H188" i="11"/>
  <c r="E188" i="11"/>
  <c r="P187" i="11"/>
  <c r="H187" i="11"/>
  <c r="E187" i="11"/>
  <c r="P186" i="11"/>
  <c r="H186" i="11"/>
  <c r="E186" i="11"/>
  <c r="P185" i="11"/>
  <c r="H185" i="11"/>
  <c r="E185" i="11"/>
  <c r="P184" i="11"/>
  <c r="H184" i="11"/>
  <c r="E184" i="11"/>
  <c r="P183" i="11"/>
  <c r="H183" i="11"/>
  <c r="E183" i="11"/>
  <c r="P182" i="11"/>
  <c r="H182" i="11"/>
  <c r="E182" i="11"/>
  <c r="P181" i="11"/>
  <c r="H181" i="11"/>
  <c r="E181" i="11"/>
  <c r="P180" i="11"/>
  <c r="H180" i="11"/>
  <c r="E180" i="11"/>
  <c r="P179" i="11"/>
  <c r="H179" i="11"/>
  <c r="E179" i="11"/>
  <c r="P178" i="11"/>
  <c r="H178" i="11"/>
  <c r="E178" i="11"/>
  <c r="P177" i="11"/>
  <c r="H177" i="11"/>
  <c r="E177" i="11"/>
  <c r="P176" i="11"/>
  <c r="H176" i="11"/>
  <c r="E176" i="11"/>
  <c r="P175" i="11"/>
  <c r="H175" i="11"/>
  <c r="E175" i="11"/>
  <c r="P174" i="11"/>
  <c r="H174" i="11"/>
  <c r="E174" i="11"/>
  <c r="P173" i="11"/>
  <c r="H173" i="11"/>
  <c r="E173" i="11"/>
  <c r="P172" i="11"/>
  <c r="H172" i="11"/>
  <c r="E172" i="11"/>
  <c r="P171" i="11"/>
  <c r="H171" i="11"/>
  <c r="E171" i="11"/>
  <c r="P170" i="11"/>
  <c r="H170" i="11"/>
  <c r="E170" i="11"/>
  <c r="P169" i="11"/>
  <c r="H169" i="11"/>
  <c r="E169" i="11"/>
  <c r="P168" i="11"/>
  <c r="H168" i="11"/>
  <c r="E168" i="11"/>
  <c r="P167" i="11"/>
  <c r="H167" i="11"/>
  <c r="E167" i="11"/>
  <c r="P166" i="11"/>
  <c r="H166" i="11"/>
  <c r="E166" i="11"/>
  <c r="P165" i="11"/>
  <c r="H165" i="11"/>
  <c r="E165" i="11"/>
  <c r="P164" i="11"/>
  <c r="H164" i="11"/>
  <c r="E164" i="11"/>
  <c r="P163" i="11"/>
  <c r="H163" i="11"/>
  <c r="E163" i="11"/>
  <c r="P162" i="11"/>
  <c r="H162" i="11"/>
  <c r="E162" i="11"/>
  <c r="P161" i="11"/>
  <c r="H161" i="11"/>
  <c r="E161" i="11"/>
  <c r="P160" i="11"/>
  <c r="H160" i="11"/>
  <c r="E160" i="11"/>
  <c r="P159" i="11"/>
  <c r="H159" i="11"/>
  <c r="E159" i="11"/>
  <c r="P158" i="11"/>
  <c r="H158" i="11"/>
  <c r="E158" i="11"/>
  <c r="P157" i="11"/>
  <c r="H157" i="11"/>
  <c r="E157" i="11"/>
  <c r="P156" i="11"/>
  <c r="H156" i="11"/>
  <c r="E156" i="11"/>
  <c r="P155" i="11"/>
  <c r="H155" i="11"/>
  <c r="E155" i="11"/>
  <c r="P154" i="11"/>
  <c r="H154" i="11"/>
  <c r="E154" i="11"/>
  <c r="P153" i="11"/>
  <c r="H153" i="11"/>
  <c r="E153" i="11"/>
  <c r="P152" i="11"/>
  <c r="H152" i="11"/>
  <c r="E152" i="11"/>
  <c r="P151" i="11"/>
  <c r="H151" i="11"/>
  <c r="E151" i="11"/>
  <c r="P150" i="11"/>
  <c r="H150" i="11"/>
  <c r="E150" i="11"/>
  <c r="P149" i="11"/>
  <c r="H149" i="11"/>
  <c r="E149" i="11"/>
  <c r="P148" i="11"/>
  <c r="H148" i="11"/>
  <c r="E148" i="11"/>
  <c r="P147" i="11"/>
  <c r="H147" i="11"/>
  <c r="E147" i="11"/>
  <c r="P146" i="11"/>
  <c r="H146" i="11"/>
  <c r="E146" i="11"/>
  <c r="P145" i="11"/>
  <c r="H145" i="11"/>
  <c r="E145" i="11"/>
  <c r="P144" i="11"/>
  <c r="H144" i="11"/>
  <c r="E144" i="11"/>
  <c r="P143" i="11"/>
  <c r="H143" i="11"/>
  <c r="E143" i="11"/>
  <c r="P142" i="11"/>
  <c r="H142" i="11"/>
  <c r="E142" i="11"/>
  <c r="P141" i="11"/>
  <c r="H141" i="11"/>
  <c r="E141" i="11"/>
  <c r="P140" i="11"/>
  <c r="H140" i="11"/>
  <c r="E140" i="11"/>
  <c r="P139" i="11"/>
  <c r="H139" i="11"/>
  <c r="E139" i="11"/>
  <c r="P138" i="11"/>
  <c r="H138" i="11"/>
  <c r="E138" i="11"/>
  <c r="P137" i="11"/>
  <c r="H137" i="11"/>
  <c r="E137" i="11"/>
  <c r="P136" i="11"/>
  <c r="H136" i="11"/>
  <c r="E136" i="11"/>
  <c r="P135" i="11"/>
  <c r="H135" i="11"/>
  <c r="E135" i="11"/>
  <c r="P134" i="11"/>
  <c r="H134" i="11"/>
  <c r="E134" i="11"/>
  <c r="P133" i="11"/>
  <c r="H133" i="11"/>
  <c r="E133" i="11"/>
  <c r="P132" i="11"/>
  <c r="H132" i="11"/>
  <c r="E132" i="11"/>
  <c r="P131" i="11"/>
  <c r="H131" i="11"/>
  <c r="E131" i="11"/>
  <c r="P130" i="11"/>
  <c r="H130" i="11"/>
  <c r="E130" i="11"/>
  <c r="P129" i="11"/>
  <c r="H129" i="11"/>
  <c r="E129" i="11"/>
  <c r="P128" i="11"/>
  <c r="H128" i="11"/>
  <c r="E128" i="11"/>
  <c r="P127" i="11"/>
  <c r="H127" i="11"/>
  <c r="E127" i="11"/>
  <c r="P126" i="11"/>
  <c r="H126" i="11"/>
  <c r="E126" i="11"/>
  <c r="P125" i="11"/>
  <c r="H125" i="11"/>
  <c r="E125" i="11"/>
  <c r="P124" i="11"/>
  <c r="H124" i="11"/>
  <c r="E124" i="11"/>
  <c r="P123" i="11"/>
  <c r="H123" i="11"/>
  <c r="E123" i="11"/>
  <c r="P122" i="11"/>
  <c r="H122" i="11"/>
  <c r="E122" i="11"/>
  <c r="P121" i="11"/>
  <c r="H121" i="11"/>
  <c r="E121" i="11"/>
  <c r="P120" i="11"/>
  <c r="H120" i="11"/>
  <c r="E120" i="11"/>
  <c r="P119" i="11"/>
  <c r="H119" i="11"/>
  <c r="E119" i="11"/>
  <c r="P118" i="11"/>
  <c r="H118" i="11"/>
  <c r="E118" i="11"/>
  <c r="P117" i="11"/>
  <c r="H117" i="11"/>
  <c r="E117" i="11"/>
  <c r="P116" i="11"/>
  <c r="H116" i="11"/>
  <c r="E116" i="11"/>
  <c r="P115" i="11"/>
  <c r="H115" i="11"/>
  <c r="E115" i="11"/>
  <c r="P114" i="11"/>
  <c r="H114" i="11"/>
  <c r="E114" i="11"/>
  <c r="P113" i="11"/>
  <c r="H113" i="11"/>
  <c r="E113" i="11"/>
  <c r="P112" i="11"/>
  <c r="H112" i="11"/>
  <c r="E112" i="11"/>
  <c r="P111" i="11"/>
  <c r="H111" i="11"/>
  <c r="E111" i="11"/>
  <c r="P110" i="11"/>
  <c r="H110" i="11"/>
  <c r="E110" i="11"/>
  <c r="P109" i="11"/>
  <c r="H109" i="11"/>
  <c r="E109" i="11"/>
  <c r="P108" i="11"/>
  <c r="H108" i="11"/>
  <c r="E108" i="11"/>
  <c r="P107" i="11"/>
  <c r="H107" i="11"/>
  <c r="E107" i="11"/>
  <c r="P106" i="11"/>
  <c r="H106" i="11"/>
  <c r="E106" i="11"/>
  <c r="P105" i="11"/>
  <c r="H105" i="11"/>
  <c r="E105" i="11"/>
  <c r="P104" i="11"/>
  <c r="H104" i="11"/>
  <c r="E104" i="11"/>
  <c r="P103" i="11"/>
  <c r="H103" i="11"/>
  <c r="E103" i="11"/>
  <c r="P102" i="11"/>
  <c r="H102" i="11"/>
  <c r="E102" i="11"/>
  <c r="P101" i="11"/>
  <c r="H101" i="11"/>
  <c r="E101" i="11"/>
  <c r="P100" i="11"/>
  <c r="H100" i="11"/>
  <c r="E100" i="11"/>
  <c r="P99" i="11"/>
  <c r="H99" i="11"/>
  <c r="E99" i="11"/>
  <c r="P98" i="11"/>
  <c r="H98" i="11"/>
  <c r="E98" i="11"/>
  <c r="P97" i="11"/>
  <c r="H97" i="11"/>
  <c r="E97" i="11"/>
  <c r="P96" i="11"/>
  <c r="H96" i="11"/>
  <c r="E96" i="11"/>
  <c r="P95" i="11"/>
  <c r="H95" i="11"/>
  <c r="E95" i="11"/>
  <c r="P94" i="11"/>
  <c r="H94" i="11"/>
  <c r="E94" i="11"/>
  <c r="P93" i="11"/>
  <c r="H93" i="11"/>
  <c r="E93" i="11"/>
  <c r="P92" i="11"/>
  <c r="H92" i="11"/>
  <c r="E92" i="11"/>
  <c r="P91" i="11"/>
  <c r="H91" i="11"/>
  <c r="E91" i="11"/>
  <c r="P90" i="11"/>
  <c r="H90" i="11"/>
  <c r="E90" i="11"/>
  <c r="P89" i="11"/>
  <c r="H89" i="11"/>
  <c r="E89" i="11"/>
  <c r="P88" i="11"/>
  <c r="H88" i="11"/>
  <c r="E88" i="11"/>
  <c r="P87" i="11"/>
  <c r="H87" i="11"/>
  <c r="E87" i="11"/>
  <c r="P86" i="11"/>
  <c r="H86" i="11"/>
  <c r="E86" i="11"/>
  <c r="P85" i="11"/>
  <c r="H85" i="11"/>
  <c r="E85" i="11"/>
  <c r="P84" i="11"/>
  <c r="H84" i="11"/>
  <c r="E84" i="11"/>
  <c r="P83" i="11"/>
  <c r="H83" i="11"/>
  <c r="E83" i="11"/>
  <c r="P82" i="11"/>
  <c r="H82" i="11"/>
  <c r="E82" i="11"/>
  <c r="P81" i="11"/>
  <c r="H81" i="11"/>
  <c r="E81" i="11"/>
  <c r="P80" i="11"/>
  <c r="H80" i="11"/>
  <c r="E80" i="11"/>
  <c r="P79" i="11"/>
  <c r="H79" i="11"/>
  <c r="E79" i="11"/>
  <c r="P78" i="11"/>
  <c r="H78" i="11"/>
  <c r="E78" i="11"/>
  <c r="P77" i="11"/>
  <c r="H77" i="11"/>
  <c r="E77" i="11"/>
  <c r="P76" i="11"/>
  <c r="H76" i="11"/>
  <c r="E76" i="11"/>
  <c r="P75" i="11"/>
  <c r="H75" i="11"/>
  <c r="E75" i="11"/>
  <c r="P74" i="11"/>
  <c r="H74" i="11"/>
  <c r="E74" i="11"/>
  <c r="P73" i="11"/>
  <c r="H73" i="11"/>
  <c r="E73" i="11"/>
  <c r="P72" i="11"/>
  <c r="H72" i="11"/>
  <c r="E72" i="11"/>
  <c r="P71" i="11"/>
  <c r="H71" i="11"/>
  <c r="E71" i="11"/>
  <c r="P70" i="11"/>
  <c r="H70" i="11"/>
  <c r="E70" i="11"/>
  <c r="P69" i="11"/>
  <c r="H69" i="11"/>
  <c r="E69" i="11"/>
  <c r="P68" i="11"/>
  <c r="H68" i="11"/>
  <c r="E68" i="11"/>
  <c r="P67" i="11"/>
  <c r="H67" i="11"/>
  <c r="E67" i="11"/>
  <c r="P66" i="11"/>
  <c r="H66" i="11"/>
  <c r="E66" i="11"/>
  <c r="P65" i="11"/>
  <c r="H65" i="11"/>
  <c r="E65" i="11"/>
  <c r="P64" i="11"/>
  <c r="H64" i="11"/>
  <c r="E64" i="11"/>
  <c r="P63" i="11"/>
  <c r="H63" i="11"/>
  <c r="E63" i="11"/>
  <c r="P62" i="11"/>
  <c r="H62" i="11"/>
  <c r="E62" i="11"/>
  <c r="P61" i="11"/>
  <c r="H61" i="11"/>
  <c r="E61" i="11"/>
  <c r="P60" i="11"/>
  <c r="H60" i="11"/>
  <c r="E60" i="11"/>
  <c r="P59" i="11"/>
  <c r="H59" i="11"/>
  <c r="E59" i="11"/>
  <c r="P58" i="11"/>
  <c r="H58" i="11"/>
  <c r="E58" i="11"/>
  <c r="P57" i="11"/>
  <c r="H57" i="11"/>
  <c r="E57" i="11"/>
  <c r="P56" i="11"/>
  <c r="H56" i="11"/>
  <c r="E56" i="11"/>
  <c r="P55" i="11"/>
  <c r="H55" i="11"/>
  <c r="E55" i="11"/>
  <c r="P54" i="11"/>
  <c r="H54" i="11"/>
  <c r="E54" i="11"/>
  <c r="P53" i="11"/>
  <c r="H53" i="11"/>
  <c r="E53" i="11"/>
  <c r="P52" i="11"/>
  <c r="H52" i="11"/>
  <c r="E52" i="11"/>
  <c r="P51" i="11"/>
  <c r="H51" i="11"/>
  <c r="E51" i="11"/>
  <c r="P50" i="11"/>
  <c r="H50" i="11"/>
  <c r="E50" i="11"/>
  <c r="P49" i="11"/>
  <c r="H49" i="11"/>
  <c r="E49" i="11"/>
  <c r="P48" i="11"/>
  <c r="H48" i="11"/>
  <c r="E48" i="11"/>
  <c r="P47" i="11"/>
  <c r="H47" i="11"/>
  <c r="E47" i="11"/>
  <c r="P46" i="11"/>
  <c r="H46" i="11"/>
  <c r="E46" i="11"/>
  <c r="P45" i="11"/>
  <c r="H45" i="11"/>
  <c r="E45" i="11"/>
  <c r="P44" i="11"/>
  <c r="H44" i="11"/>
  <c r="E44" i="11"/>
  <c r="P43" i="11"/>
  <c r="H43" i="11"/>
  <c r="E43" i="11"/>
  <c r="P42" i="11"/>
  <c r="H42" i="11"/>
  <c r="E42" i="11"/>
  <c r="P41" i="11"/>
  <c r="H41" i="11"/>
  <c r="E41" i="11"/>
  <c r="P40" i="11"/>
  <c r="H40" i="11"/>
  <c r="E40" i="11"/>
  <c r="P39" i="11"/>
  <c r="H39" i="11"/>
  <c r="E39" i="11"/>
  <c r="P38" i="11"/>
  <c r="H38" i="11"/>
  <c r="E38" i="11"/>
  <c r="P37" i="11"/>
  <c r="H37" i="11"/>
  <c r="E37" i="11"/>
  <c r="P36" i="11"/>
  <c r="H36" i="11"/>
  <c r="E36" i="11"/>
  <c r="P35" i="11"/>
  <c r="H35" i="11"/>
  <c r="E35" i="11"/>
  <c r="P34" i="11"/>
  <c r="H34" i="11"/>
  <c r="E34" i="11"/>
  <c r="P33" i="11"/>
  <c r="H33" i="11"/>
  <c r="E33" i="11"/>
  <c r="P32" i="11"/>
  <c r="H32" i="11"/>
  <c r="E32" i="11"/>
  <c r="P31" i="11"/>
  <c r="H31" i="11"/>
  <c r="E31" i="11"/>
  <c r="P30" i="11"/>
  <c r="H30" i="11"/>
  <c r="E30" i="11"/>
  <c r="P29" i="11"/>
  <c r="H29" i="11"/>
  <c r="E29" i="11"/>
  <c r="P28" i="11"/>
  <c r="H28" i="11"/>
  <c r="E28" i="11"/>
  <c r="P27" i="11"/>
  <c r="H27" i="11"/>
  <c r="E27" i="11"/>
  <c r="P26" i="11"/>
  <c r="H26" i="11"/>
  <c r="E26" i="11"/>
  <c r="P25" i="11"/>
  <c r="H25" i="11"/>
  <c r="E25" i="11"/>
  <c r="P24" i="11"/>
  <c r="H24" i="11"/>
  <c r="E24" i="11"/>
  <c r="P23" i="11"/>
  <c r="H23" i="11"/>
  <c r="E23" i="11"/>
  <c r="P22" i="11"/>
  <c r="H22" i="11"/>
  <c r="E22" i="11"/>
  <c r="P21" i="11"/>
  <c r="H21" i="11"/>
  <c r="E21" i="11"/>
  <c r="P20" i="11"/>
  <c r="H20" i="11"/>
  <c r="E20" i="11"/>
  <c r="P19" i="11"/>
  <c r="H19" i="11"/>
  <c r="E19" i="11"/>
  <c r="P18" i="11"/>
  <c r="H18" i="11"/>
  <c r="E18" i="11"/>
  <c r="P17" i="11"/>
  <c r="H17" i="11"/>
  <c r="E17" i="11"/>
  <c r="P16" i="11"/>
  <c r="H16" i="11"/>
  <c r="E16" i="11"/>
  <c r="P15" i="11"/>
  <c r="H15" i="11"/>
  <c r="E15" i="11"/>
  <c r="P14" i="11"/>
  <c r="H14" i="11"/>
  <c r="E14" i="11"/>
  <c r="P13" i="11"/>
  <c r="H13" i="11"/>
  <c r="E13" i="11"/>
  <c r="P12" i="11"/>
  <c r="H12" i="11"/>
  <c r="E12" i="11"/>
  <c r="P11" i="11"/>
  <c r="H11" i="11"/>
  <c r="E11" i="11"/>
  <c r="P10" i="11"/>
  <c r="H10" i="11"/>
  <c r="E10" i="11"/>
  <c r="P9" i="11"/>
  <c r="H9" i="11"/>
  <c r="E9" i="11"/>
  <c r="P8" i="11"/>
  <c r="H8" i="11"/>
  <c r="E8" i="11"/>
  <c r="P7" i="11"/>
  <c r="H7" i="11"/>
  <c r="E7" i="11"/>
  <c r="P6" i="11"/>
  <c r="H6" i="11"/>
  <c r="E6" i="11"/>
  <c r="P5" i="11"/>
  <c r="H5" i="11"/>
  <c r="E5" i="11"/>
  <c r="P4" i="11"/>
  <c r="H4" i="11"/>
  <c r="E4" i="11"/>
  <c r="P3" i="11"/>
  <c r="H3" i="11"/>
  <c r="E3" i="11"/>
  <c r="D2" i="11"/>
  <c r="P2" i="11"/>
  <c r="H2" i="11"/>
  <c r="J2" i="11" s="1"/>
  <c r="E2" i="11"/>
  <c r="G2" i="11" s="1"/>
  <c r="E12" i="13" l="1"/>
  <c r="G12" i="13" s="1"/>
  <c r="B13" i="13" s="1"/>
  <c r="F11" i="13"/>
  <c r="C11" i="13"/>
  <c r="A4" i="13"/>
  <c r="C4" i="13" s="1"/>
  <c r="H3" i="13"/>
  <c r="B5" i="13"/>
  <c r="K2" i="11"/>
  <c r="M2" i="11" s="1"/>
  <c r="C2" i="10"/>
  <c r="B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E13" i="13" l="1"/>
  <c r="G13" i="13" s="1"/>
  <c r="B14" i="13" s="1"/>
  <c r="H11" i="13"/>
  <c r="A12" i="13"/>
  <c r="D4" i="13"/>
  <c r="F4" i="13" s="1"/>
  <c r="E5" i="13"/>
  <c r="G5" i="13" s="1"/>
  <c r="B6" i="13" s="1"/>
  <c r="N2" i="11"/>
  <c r="H2" i="9"/>
  <c r="C2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C19" i="10"/>
  <c r="C21" i="10"/>
  <c r="C20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E14" i="13" l="1"/>
  <c r="G14" i="13" s="1"/>
  <c r="B15" i="13" s="1"/>
  <c r="D12" i="13"/>
  <c r="F12" i="13" s="1"/>
  <c r="C12" i="13"/>
  <c r="A5" i="13"/>
  <c r="C5" i="13" s="1"/>
  <c r="H4" i="13"/>
  <c r="E6" i="13"/>
  <c r="O2" i="11"/>
  <c r="C18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B2" i="9"/>
  <c r="F2" i="7"/>
  <c r="F3" i="5"/>
  <c r="E3" i="5"/>
  <c r="D2" i="7"/>
  <c r="C2" i="7"/>
  <c r="B2" i="7"/>
  <c r="F2" i="5"/>
  <c r="D2" i="6"/>
  <c r="C2" i="6"/>
  <c r="F2" i="6" s="1"/>
  <c r="B2" i="6"/>
  <c r="D2" i="5"/>
  <c r="C2" i="5"/>
  <c r="B2" i="5"/>
  <c r="G2" i="1"/>
  <c r="D2" i="4"/>
  <c r="C2" i="4"/>
  <c r="F2" i="4" s="1"/>
  <c r="B2" i="4"/>
  <c r="D2" i="3"/>
  <c r="C2" i="3"/>
  <c r="F2" i="3" s="1"/>
  <c r="B2" i="3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1"/>
  <c r="C2" i="1"/>
  <c r="F2" i="1" s="1"/>
  <c r="B2" i="1"/>
  <c r="H12" i="13" l="1"/>
  <c r="A13" i="13"/>
  <c r="E15" i="13"/>
  <c r="G15" i="13" s="1"/>
  <c r="D5" i="13"/>
  <c r="F5" i="13" s="1"/>
  <c r="A6" i="13" s="1"/>
  <c r="H5" i="13"/>
  <c r="G6" i="13"/>
  <c r="B7" i="13" s="1"/>
  <c r="R2" i="11"/>
  <c r="C3" i="11" s="1"/>
  <c r="J3" i="11" s="1"/>
  <c r="Q2" i="11"/>
  <c r="D2" i="9"/>
  <c r="E2" i="9" s="1"/>
  <c r="E2" i="7"/>
  <c r="G2" i="7" s="1"/>
  <c r="A3" i="7" s="1"/>
  <c r="E2" i="6"/>
  <c r="E2" i="5"/>
  <c r="G2" i="5" s="1"/>
  <c r="A3" i="5" s="1"/>
  <c r="E2" i="4"/>
  <c r="E2" i="3"/>
  <c r="G2" i="3" s="1"/>
  <c r="A3" i="3" s="1"/>
  <c r="E2" i="1"/>
  <c r="D13" i="13" l="1"/>
  <c r="C13" i="13"/>
  <c r="F13" i="13"/>
  <c r="C6" i="13"/>
  <c r="D6" i="13"/>
  <c r="F6" i="13" s="1"/>
  <c r="E7" i="13"/>
  <c r="B3" i="11"/>
  <c r="G3" i="11" s="1"/>
  <c r="K3" i="11" s="1"/>
  <c r="S2" i="11"/>
  <c r="D3" i="11" s="1"/>
  <c r="C3" i="7"/>
  <c r="D3" i="7"/>
  <c r="B3" i="7"/>
  <c r="G2" i="6"/>
  <c r="A3" i="6" s="1"/>
  <c r="C3" i="5"/>
  <c r="D3" i="5"/>
  <c r="B3" i="5"/>
  <c r="G2" i="4"/>
  <c r="A3" i="4" s="1"/>
  <c r="C3" i="4" s="1"/>
  <c r="B3" i="3"/>
  <c r="D3" i="3"/>
  <c r="C3" i="3"/>
  <c r="A3" i="1"/>
  <c r="H13" i="13" l="1"/>
  <c r="A14" i="13"/>
  <c r="A7" i="13"/>
  <c r="C7" i="13" s="1"/>
  <c r="H6" i="13"/>
  <c r="G7" i="13"/>
  <c r="B8" i="13" s="1"/>
  <c r="M3" i="11"/>
  <c r="I2" i="9"/>
  <c r="J2" i="9" s="1"/>
  <c r="K2" i="9" s="1"/>
  <c r="L2" i="9" s="1"/>
  <c r="M2" i="9" s="1"/>
  <c r="F3" i="7"/>
  <c r="E3" i="7"/>
  <c r="C3" i="6"/>
  <c r="B3" i="6"/>
  <c r="D3" i="6"/>
  <c r="D3" i="4"/>
  <c r="F3" i="4" s="1"/>
  <c r="B3" i="4"/>
  <c r="E3" i="4"/>
  <c r="C3" i="1"/>
  <c r="E3" i="1" s="1"/>
  <c r="G3" i="1" s="1"/>
  <c r="F3" i="3"/>
  <c r="E3" i="3"/>
  <c r="G3" i="3" s="1"/>
  <c r="A4" i="3" s="1"/>
  <c r="D3" i="1"/>
  <c r="F3" i="1" s="1"/>
  <c r="B3" i="1"/>
  <c r="D14" i="13" l="1"/>
  <c r="C14" i="13"/>
  <c r="F14" i="13"/>
  <c r="D7" i="13"/>
  <c r="F7" i="13" s="1"/>
  <c r="H7" i="13" s="1"/>
  <c r="E8" i="13"/>
  <c r="N3" i="11"/>
  <c r="A3" i="9"/>
  <c r="G3" i="7"/>
  <c r="A4" i="7" s="1"/>
  <c r="C4" i="7" s="1"/>
  <c r="F3" i="6"/>
  <c r="G3" i="5"/>
  <c r="A4" i="5" s="1"/>
  <c r="D4" i="5" s="1"/>
  <c r="E3" i="6"/>
  <c r="G3" i="4"/>
  <c r="A4" i="4" s="1"/>
  <c r="B4" i="3"/>
  <c r="C4" i="3"/>
  <c r="D4" i="3"/>
  <c r="H14" i="13" l="1"/>
  <c r="A15" i="13"/>
  <c r="A8" i="13"/>
  <c r="C8" i="13" s="1"/>
  <c r="G8" i="13"/>
  <c r="B9" i="13" s="1"/>
  <c r="O3" i="11"/>
  <c r="Q3" i="11" s="1"/>
  <c r="B4" i="11" s="1"/>
  <c r="G4" i="11" s="1"/>
  <c r="D3" i="9"/>
  <c r="E3" i="9" s="1"/>
  <c r="B3" i="9"/>
  <c r="B4" i="5"/>
  <c r="B4" i="7"/>
  <c r="D4" i="7"/>
  <c r="F4" i="7" s="1"/>
  <c r="E4" i="7"/>
  <c r="C4" i="5"/>
  <c r="E4" i="5" s="1"/>
  <c r="G3" i="6"/>
  <c r="A4" i="6" s="1"/>
  <c r="D4" i="6" s="1"/>
  <c r="B4" i="4"/>
  <c r="C4" i="4"/>
  <c r="F4" i="4" s="1"/>
  <c r="D4" i="4"/>
  <c r="A4" i="1"/>
  <c r="F4" i="3"/>
  <c r="E4" i="3"/>
  <c r="G4" i="3" s="1"/>
  <c r="A5" i="3" s="1"/>
  <c r="D15" i="13" l="1"/>
  <c r="C15" i="13"/>
  <c r="F15" i="13"/>
  <c r="H15" i="13" s="1"/>
  <c r="D8" i="13"/>
  <c r="F8" i="13" s="1"/>
  <c r="E9" i="13"/>
  <c r="R3" i="11"/>
  <c r="C4" i="11" s="1"/>
  <c r="J4" i="11" s="1"/>
  <c r="K4" i="11" s="1"/>
  <c r="I3" i="9"/>
  <c r="G4" i="7"/>
  <c r="A5" i="7" s="1"/>
  <c r="F4" i="5"/>
  <c r="G4" i="5" s="1"/>
  <c r="A5" i="5" s="1"/>
  <c r="B4" i="6"/>
  <c r="C4" i="6"/>
  <c r="F4" i="6" s="1"/>
  <c r="E4" i="4"/>
  <c r="C4" i="1"/>
  <c r="B4" i="1"/>
  <c r="D4" i="1"/>
  <c r="C5" i="3"/>
  <c r="B5" i="3"/>
  <c r="D5" i="3"/>
  <c r="A9" i="13" l="1"/>
  <c r="C9" i="13" s="1"/>
  <c r="H8" i="13"/>
  <c r="G9" i="13"/>
  <c r="B10" i="13" s="1"/>
  <c r="S3" i="11"/>
  <c r="D4" i="11" s="1"/>
  <c r="M4" i="11" s="1"/>
  <c r="J3" i="9"/>
  <c r="K3" i="9" s="1"/>
  <c r="L3" i="9" s="1"/>
  <c r="D5" i="7"/>
  <c r="C5" i="7"/>
  <c r="B5" i="7"/>
  <c r="E4" i="6"/>
  <c r="G4" i="6" s="1"/>
  <c r="A5" i="6" s="1"/>
  <c r="C5" i="6" s="1"/>
  <c r="D5" i="5"/>
  <c r="C5" i="5"/>
  <c r="B5" i="5"/>
  <c r="G4" i="4"/>
  <c r="A5" i="4" s="1"/>
  <c r="D5" i="4" s="1"/>
  <c r="F4" i="1"/>
  <c r="E4" i="1"/>
  <c r="F5" i="3"/>
  <c r="E5" i="3"/>
  <c r="G5" i="3" s="1"/>
  <c r="A6" i="3" s="1"/>
  <c r="D9" i="13" l="1"/>
  <c r="F9" i="13" s="1"/>
  <c r="H9" i="13" s="1"/>
  <c r="A10" i="13"/>
  <c r="C10" i="13" s="1"/>
  <c r="E10" i="13"/>
  <c r="G10" i="13" s="1"/>
  <c r="N4" i="11"/>
  <c r="O4" i="11" s="1"/>
  <c r="Q4" i="11" s="1"/>
  <c r="A4" i="9"/>
  <c r="B4" i="9" s="1"/>
  <c r="M3" i="9"/>
  <c r="F5" i="7"/>
  <c r="E5" i="7"/>
  <c r="D5" i="6"/>
  <c r="F5" i="6" s="1"/>
  <c r="B5" i="6"/>
  <c r="E5" i="6"/>
  <c r="E5" i="5"/>
  <c r="F5" i="5"/>
  <c r="B5" i="4"/>
  <c r="C5" i="4"/>
  <c r="F5" i="4" s="1"/>
  <c r="G4" i="1"/>
  <c r="A5" i="1"/>
  <c r="D5" i="1" s="1"/>
  <c r="D6" i="3"/>
  <c r="C6" i="3"/>
  <c r="B6" i="3"/>
  <c r="D10" i="13" l="1"/>
  <c r="F10" i="13" s="1"/>
  <c r="H10" i="13" s="1"/>
  <c r="R4" i="11"/>
  <c r="C5" i="11" s="1"/>
  <c r="J5" i="11" s="1"/>
  <c r="B5" i="11"/>
  <c r="G5" i="11" s="1"/>
  <c r="D4" i="9"/>
  <c r="E4" i="9" s="1"/>
  <c r="I4" i="9" s="1"/>
  <c r="G5" i="7"/>
  <c r="A6" i="7" s="1"/>
  <c r="G5" i="6"/>
  <c r="A6" i="6" s="1"/>
  <c r="E5" i="4"/>
  <c r="G5" i="4" s="1"/>
  <c r="A6" i="4" s="1"/>
  <c r="G5" i="5"/>
  <c r="A6" i="5" s="1"/>
  <c r="C5" i="1"/>
  <c r="F5" i="1" s="1"/>
  <c r="B5" i="1"/>
  <c r="E6" i="3"/>
  <c r="F6" i="3"/>
  <c r="K5" i="11" l="1"/>
  <c r="S4" i="11"/>
  <c r="D5" i="11" s="1"/>
  <c r="J4" i="9"/>
  <c r="K4" i="9" s="1"/>
  <c r="L4" i="9" s="1"/>
  <c r="B6" i="7"/>
  <c r="D6" i="7"/>
  <c r="C6" i="7"/>
  <c r="B6" i="6"/>
  <c r="D6" i="6"/>
  <c r="C6" i="6"/>
  <c r="B6" i="5"/>
  <c r="D6" i="5"/>
  <c r="C6" i="5"/>
  <c r="E5" i="1"/>
  <c r="G5" i="1" s="1"/>
  <c r="A6" i="1" s="1"/>
  <c r="D6" i="4"/>
  <c r="B6" i="4"/>
  <c r="C6" i="4"/>
  <c r="F6" i="4" s="1"/>
  <c r="G6" i="3"/>
  <c r="A7" i="3" s="1"/>
  <c r="M5" i="11" l="1"/>
  <c r="N5" i="11" s="1"/>
  <c r="A5" i="9"/>
  <c r="D5" i="9" s="1"/>
  <c r="E5" i="9" s="1"/>
  <c r="M4" i="9"/>
  <c r="F6" i="7"/>
  <c r="E6" i="7"/>
  <c r="F6" i="6"/>
  <c r="E6" i="6"/>
  <c r="F6" i="5"/>
  <c r="E6" i="5"/>
  <c r="E6" i="4"/>
  <c r="B6" i="1"/>
  <c r="C6" i="1"/>
  <c r="D6" i="1"/>
  <c r="B7" i="3"/>
  <c r="D7" i="3"/>
  <c r="C7" i="3"/>
  <c r="O5" i="11" l="1"/>
  <c r="Q5" i="11" s="1"/>
  <c r="B6" i="11" s="1"/>
  <c r="G6" i="11" s="1"/>
  <c r="B5" i="9"/>
  <c r="I5" i="9" s="1"/>
  <c r="J5" i="9" s="1"/>
  <c r="K5" i="9" s="1"/>
  <c r="L5" i="9" s="1"/>
  <c r="G6" i="7"/>
  <c r="A7" i="7" s="1"/>
  <c r="G6" i="5"/>
  <c r="A7" i="5" s="1"/>
  <c r="C7" i="5" s="1"/>
  <c r="G6" i="6"/>
  <c r="A7" i="6" s="1"/>
  <c r="G6" i="4"/>
  <c r="A7" i="4" s="1"/>
  <c r="F6" i="1"/>
  <c r="E6" i="1"/>
  <c r="G6" i="1" s="1"/>
  <c r="E7" i="3"/>
  <c r="F7" i="3"/>
  <c r="R5" i="11" l="1"/>
  <c r="C6" i="11" s="1"/>
  <c r="J6" i="11" s="1"/>
  <c r="K6" i="11" s="1"/>
  <c r="A6" i="9"/>
  <c r="D6" i="9" s="1"/>
  <c r="E6" i="9" s="1"/>
  <c r="M5" i="9"/>
  <c r="B7" i="5"/>
  <c r="D7" i="5"/>
  <c r="F7" i="5" s="1"/>
  <c r="C7" i="7"/>
  <c r="D7" i="7"/>
  <c r="B7" i="7"/>
  <c r="C7" i="6"/>
  <c r="B7" i="6"/>
  <c r="D7" i="6"/>
  <c r="E7" i="5"/>
  <c r="B7" i="4"/>
  <c r="C7" i="4"/>
  <c r="D7" i="4"/>
  <c r="A7" i="1"/>
  <c r="G7" i="3"/>
  <c r="A8" i="3" s="1"/>
  <c r="S5" i="11" l="1"/>
  <c r="D6" i="11" s="1"/>
  <c r="M6" i="11" s="1"/>
  <c r="N6" i="11" s="1"/>
  <c r="O6" i="11" s="1"/>
  <c r="Q6" i="11" s="1"/>
  <c r="B6" i="9"/>
  <c r="I6" i="9" s="1"/>
  <c r="J6" i="9" s="1"/>
  <c r="K6" i="9" s="1"/>
  <c r="L6" i="9" s="1"/>
  <c r="F7" i="7"/>
  <c r="E7" i="7"/>
  <c r="F7" i="6"/>
  <c r="G7" i="5"/>
  <c r="A8" i="5" s="1"/>
  <c r="D8" i="5" s="1"/>
  <c r="E7" i="6"/>
  <c r="F7" i="4"/>
  <c r="C8" i="5"/>
  <c r="B8" i="5"/>
  <c r="E7" i="4"/>
  <c r="B7" i="1"/>
  <c r="D7" i="1"/>
  <c r="C7" i="1"/>
  <c r="B8" i="3"/>
  <c r="C8" i="3"/>
  <c r="D8" i="3"/>
  <c r="R6" i="11" l="1"/>
  <c r="C7" i="11" s="1"/>
  <c r="J7" i="11" s="1"/>
  <c r="B7" i="11"/>
  <c r="G7" i="11" s="1"/>
  <c r="A7" i="9"/>
  <c r="B7" i="9" s="1"/>
  <c r="M6" i="9"/>
  <c r="G7" i="7"/>
  <c r="A8" i="7" s="1"/>
  <c r="C8" i="7" s="1"/>
  <c r="G7" i="6"/>
  <c r="A8" i="6" s="1"/>
  <c r="D8" i="6" s="1"/>
  <c r="E8" i="5"/>
  <c r="F8" i="5"/>
  <c r="G7" i="4"/>
  <c r="A8" i="4" s="1"/>
  <c r="F7" i="1"/>
  <c r="E7" i="1"/>
  <c r="G7" i="1" s="1"/>
  <c r="F8" i="3"/>
  <c r="E8" i="3"/>
  <c r="S6" i="11" l="1"/>
  <c r="D7" i="11" s="1"/>
  <c r="K7" i="11"/>
  <c r="D7" i="9"/>
  <c r="E7" i="9" s="1"/>
  <c r="I7" i="9" s="1"/>
  <c r="D8" i="7"/>
  <c r="F8" i="7"/>
  <c r="B8" i="7"/>
  <c r="E8" i="7"/>
  <c r="C8" i="6"/>
  <c r="F8" i="6" s="1"/>
  <c r="B8" i="6"/>
  <c r="G8" i="5"/>
  <c r="A9" i="5" s="1"/>
  <c r="C8" i="4"/>
  <c r="B8" i="4"/>
  <c r="D8" i="4"/>
  <c r="A8" i="1"/>
  <c r="G8" i="3"/>
  <c r="A9" i="3" s="1"/>
  <c r="M7" i="11" l="1"/>
  <c r="N7" i="11" s="1"/>
  <c r="O7" i="11" s="1"/>
  <c r="Q7" i="11" s="1"/>
  <c r="B8" i="11" s="1"/>
  <c r="G8" i="11" s="1"/>
  <c r="J7" i="9"/>
  <c r="K7" i="9" s="1"/>
  <c r="L7" i="9" s="1"/>
  <c r="G8" i="7"/>
  <c r="A9" i="7" s="1"/>
  <c r="E8" i="6"/>
  <c r="G8" i="6" s="1"/>
  <c r="A9" i="6" s="1"/>
  <c r="C9" i="6" s="1"/>
  <c r="F8" i="4"/>
  <c r="D9" i="5"/>
  <c r="C9" i="5"/>
  <c r="B9" i="5"/>
  <c r="E8" i="4"/>
  <c r="B8" i="1"/>
  <c r="D8" i="1"/>
  <c r="C8" i="1"/>
  <c r="E8" i="1" s="1"/>
  <c r="C9" i="3"/>
  <c r="D9" i="3"/>
  <c r="B9" i="3"/>
  <c r="R7" i="11" l="1"/>
  <c r="C8" i="11" s="1"/>
  <c r="J8" i="11" s="1"/>
  <c r="K8" i="11" s="1"/>
  <c r="A8" i="9"/>
  <c r="B8" i="9" s="1"/>
  <c r="M7" i="9"/>
  <c r="D9" i="7"/>
  <c r="C9" i="7"/>
  <c r="F9" i="7" s="1"/>
  <c r="B9" i="7"/>
  <c r="D9" i="6"/>
  <c r="F9" i="6" s="1"/>
  <c r="B9" i="6"/>
  <c r="E9" i="6"/>
  <c r="E9" i="5"/>
  <c r="F9" i="5"/>
  <c r="G8" i="4"/>
  <c r="A9" i="4" s="1"/>
  <c r="C9" i="4" s="1"/>
  <c r="F8" i="1"/>
  <c r="G8" i="1" s="1"/>
  <c r="F9" i="3"/>
  <c r="E9" i="3"/>
  <c r="S7" i="11" l="1"/>
  <c r="D8" i="11" s="1"/>
  <c r="M8" i="11" s="1"/>
  <c r="D8" i="9"/>
  <c r="E8" i="9" s="1"/>
  <c r="I8" i="9" s="1"/>
  <c r="E9" i="7"/>
  <c r="G9" i="6"/>
  <c r="A10" i="6" s="1"/>
  <c r="G9" i="5"/>
  <c r="A10" i="5" s="1"/>
  <c r="B9" i="4"/>
  <c r="D9" i="4"/>
  <c r="F9" i="4" s="1"/>
  <c r="E9" i="4"/>
  <c r="A9" i="1"/>
  <c r="D9" i="1" s="1"/>
  <c r="C9" i="1"/>
  <c r="E9" i="1" s="1"/>
  <c r="G9" i="3"/>
  <c r="A10" i="3" s="1"/>
  <c r="N8" i="11" l="1"/>
  <c r="O8" i="11" s="1"/>
  <c r="Q8" i="11" s="1"/>
  <c r="J8" i="9"/>
  <c r="K8" i="9" s="1"/>
  <c r="L8" i="9" s="1"/>
  <c r="G9" i="7"/>
  <c r="A10" i="7" s="1"/>
  <c r="D10" i="7" s="1"/>
  <c r="B10" i="6"/>
  <c r="D10" i="6"/>
  <c r="C10" i="6"/>
  <c r="B10" i="5"/>
  <c r="C10" i="5"/>
  <c r="D10" i="5"/>
  <c r="G9" i="4"/>
  <c r="A10" i="4" s="1"/>
  <c r="D10" i="4" s="1"/>
  <c r="B9" i="1"/>
  <c r="F9" i="1"/>
  <c r="G9" i="1" s="1"/>
  <c r="A10" i="1" s="1"/>
  <c r="D10" i="3"/>
  <c r="C10" i="3"/>
  <c r="B10" i="3"/>
  <c r="B9" i="11" l="1"/>
  <c r="G9" i="11" s="1"/>
  <c r="R8" i="11"/>
  <c r="C9" i="11" s="1"/>
  <c r="J9" i="11" s="1"/>
  <c r="A9" i="9"/>
  <c r="B9" i="9" s="1"/>
  <c r="M8" i="9"/>
  <c r="B10" i="7"/>
  <c r="C10" i="7"/>
  <c r="F10" i="7" s="1"/>
  <c r="F10" i="6"/>
  <c r="E10" i="6"/>
  <c r="E10" i="5"/>
  <c r="F10" i="5"/>
  <c r="C10" i="4"/>
  <c r="F10" i="4" s="1"/>
  <c r="B10" i="4"/>
  <c r="C10" i="1"/>
  <c r="E10" i="3"/>
  <c r="F10" i="3"/>
  <c r="B10" i="1"/>
  <c r="D10" i="1"/>
  <c r="F10" i="1" s="1"/>
  <c r="E10" i="1"/>
  <c r="K9" i="11" l="1"/>
  <c r="S8" i="11"/>
  <c r="D9" i="11" s="1"/>
  <c r="D9" i="9"/>
  <c r="E9" i="9" s="1"/>
  <c r="I9" i="9" s="1"/>
  <c r="E10" i="7"/>
  <c r="G10" i="7"/>
  <c r="A11" i="7" s="1"/>
  <c r="G10" i="6"/>
  <c r="A11" i="6" s="1"/>
  <c r="G10" i="5"/>
  <c r="A11" i="5" s="1"/>
  <c r="E10" i="4"/>
  <c r="G10" i="4" s="1"/>
  <c r="A11" i="4" s="1"/>
  <c r="G10" i="1"/>
  <c r="G10" i="3"/>
  <c r="A11" i="3" s="1"/>
  <c r="A11" i="1"/>
  <c r="M9" i="11" l="1"/>
  <c r="J9" i="9"/>
  <c r="K9" i="9" s="1"/>
  <c r="L9" i="9" s="1"/>
  <c r="D11" i="7"/>
  <c r="C11" i="7"/>
  <c r="F11" i="7" s="1"/>
  <c r="B11" i="7"/>
  <c r="B11" i="6"/>
  <c r="D11" i="6"/>
  <c r="C11" i="6"/>
  <c r="D11" i="5"/>
  <c r="B11" i="5"/>
  <c r="C11" i="5"/>
  <c r="B11" i="1"/>
  <c r="B11" i="4"/>
  <c r="C11" i="4"/>
  <c r="D11" i="4"/>
  <c r="D11" i="3"/>
  <c r="B11" i="3"/>
  <c r="C11" i="3"/>
  <c r="D11" i="1"/>
  <c r="C11" i="1"/>
  <c r="N9" i="11" l="1"/>
  <c r="O9" i="11" s="1"/>
  <c r="Q9" i="11" s="1"/>
  <c r="A10" i="9"/>
  <c r="B10" i="9" s="1"/>
  <c r="M9" i="9"/>
  <c r="E11" i="7"/>
  <c r="F11" i="6"/>
  <c r="E11" i="6"/>
  <c r="F11" i="4"/>
  <c r="F11" i="5"/>
  <c r="E11" i="5"/>
  <c r="E11" i="4"/>
  <c r="F11" i="1"/>
  <c r="E11" i="1"/>
  <c r="G11" i="1" s="1"/>
  <c r="E11" i="3"/>
  <c r="F11" i="3"/>
  <c r="B10" i="11" l="1"/>
  <c r="G10" i="11" s="1"/>
  <c r="R9" i="11"/>
  <c r="C10" i="11" s="1"/>
  <c r="J10" i="11" s="1"/>
  <c r="D10" i="9"/>
  <c r="E10" i="9" s="1"/>
  <c r="I10" i="9" s="1"/>
  <c r="G11" i="7"/>
  <c r="A12" i="7" s="1"/>
  <c r="G11" i="6"/>
  <c r="A12" i="6" s="1"/>
  <c r="C12" i="6" s="1"/>
  <c r="G11" i="5"/>
  <c r="A12" i="5" s="1"/>
  <c r="B12" i="5" s="1"/>
  <c r="G11" i="4"/>
  <c r="A12" i="4" s="1"/>
  <c r="A12" i="1"/>
  <c r="G11" i="3"/>
  <c r="A12" i="3" s="1"/>
  <c r="D12" i="1"/>
  <c r="K10" i="11" l="1"/>
  <c r="S9" i="11"/>
  <c r="D10" i="11" s="1"/>
  <c r="J10" i="9"/>
  <c r="K10" i="9" s="1"/>
  <c r="L10" i="9" s="1"/>
  <c r="C12" i="5"/>
  <c r="D12" i="5"/>
  <c r="D12" i="7"/>
  <c r="B12" i="7"/>
  <c r="C12" i="7"/>
  <c r="D12" i="6"/>
  <c r="F12" i="6" s="1"/>
  <c r="B12" i="6"/>
  <c r="E12" i="6"/>
  <c r="C12" i="4"/>
  <c r="B12" i="1"/>
  <c r="C12" i="1"/>
  <c r="F12" i="1" s="1"/>
  <c r="D12" i="4"/>
  <c r="B12" i="4"/>
  <c r="B12" i="3"/>
  <c r="C12" i="3"/>
  <c r="D12" i="3"/>
  <c r="M10" i="11" l="1"/>
  <c r="A11" i="9"/>
  <c r="D11" i="9" s="1"/>
  <c r="E11" i="9" s="1"/>
  <c r="M10" i="9"/>
  <c r="F12" i="5"/>
  <c r="E12" i="5"/>
  <c r="G12" i="5" s="1"/>
  <c r="A13" i="5" s="1"/>
  <c r="F12" i="7"/>
  <c r="E12" i="7"/>
  <c r="G12" i="6"/>
  <c r="A13" i="6" s="1"/>
  <c r="D13" i="6" s="1"/>
  <c r="F12" i="4"/>
  <c r="E12" i="4"/>
  <c r="E12" i="1"/>
  <c r="F12" i="3"/>
  <c r="E12" i="3"/>
  <c r="N10" i="11" l="1"/>
  <c r="O10" i="11" s="1"/>
  <c r="Q10" i="11" s="1"/>
  <c r="B11" i="9"/>
  <c r="I11" i="9" s="1"/>
  <c r="J11" i="9" s="1"/>
  <c r="K11" i="9" s="1"/>
  <c r="L11" i="9" s="1"/>
  <c r="G12" i="7"/>
  <c r="A13" i="7" s="1"/>
  <c r="C13" i="6"/>
  <c r="F13" i="6" s="1"/>
  <c r="B13" i="6"/>
  <c r="B13" i="5"/>
  <c r="D13" i="5"/>
  <c r="C13" i="5"/>
  <c r="G12" i="4"/>
  <c r="A13" i="4" s="1"/>
  <c r="D13" i="4" s="1"/>
  <c r="G12" i="1"/>
  <c r="A13" i="1" s="1"/>
  <c r="G12" i="3"/>
  <c r="A13" i="3" s="1"/>
  <c r="B11" i="11" l="1"/>
  <c r="G11" i="11" s="1"/>
  <c r="R10" i="11"/>
  <c r="C11" i="11" s="1"/>
  <c r="J11" i="11" s="1"/>
  <c r="A12" i="9"/>
  <c r="B12" i="9" s="1"/>
  <c r="M11" i="9"/>
  <c r="B13" i="7"/>
  <c r="C13" i="7"/>
  <c r="D13" i="7"/>
  <c r="E13" i="6"/>
  <c r="F13" i="5"/>
  <c r="E13" i="5"/>
  <c r="C13" i="4"/>
  <c r="F13" i="4" s="1"/>
  <c r="B13" i="4"/>
  <c r="C13" i="1"/>
  <c r="B13" i="1"/>
  <c r="D13" i="1"/>
  <c r="C13" i="3"/>
  <c r="B13" i="3"/>
  <c r="D13" i="3"/>
  <c r="S10" i="11" l="1"/>
  <c r="D11" i="11" s="1"/>
  <c r="K11" i="11"/>
  <c r="D12" i="9"/>
  <c r="E12" i="9" s="1"/>
  <c r="I12" i="9" s="1"/>
  <c r="J12" i="9" s="1"/>
  <c r="F13" i="7"/>
  <c r="E13" i="7"/>
  <c r="G13" i="6"/>
  <c r="A14" i="6" s="1"/>
  <c r="G13" i="5"/>
  <c r="A14" i="5" s="1"/>
  <c r="E13" i="4"/>
  <c r="G13" i="4" s="1"/>
  <c r="A14" i="4" s="1"/>
  <c r="F13" i="1"/>
  <c r="E13" i="1"/>
  <c r="F13" i="3"/>
  <c r="E13" i="3"/>
  <c r="M11" i="11" l="1"/>
  <c r="K12" i="9"/>
  <c r="L12" i="9" s="1"/>
  <c r="G13" i="7"/>
  <c r="A14" i="7" s="1"/>
  <c r="D14" i="6"/>
  <c r="C14" i="6"/>
  <c r="B14" i="6"/>
  <c r="C14" i="5"/>
  <c r="B14" i="5"/>
  <c r="D14" i="5"/>
  <c r="C14" i="4"/>
  <c r="B14" i="4"/>
  <c r="D14" i="4"/>
  <c r="G13" i="1"/>
  <c r="A14" i="1" s="1"/>
  <c r="G13" i="3"/>
  <c r="A14" i="3" s="1"/>
  <c r="N11" i="11" l="1"/>
  <c r="O11" i="11" s="1"/>
  <c r="R11" i="11" s="1"/>
  <c r="C12" i="11" s="1"/>
  <c r="J12" i="11" s="1"/>
  <c r="A13" i="9"/>
  <c r="B13" i="9" s="1"/>
  <c r="M12" i="9"/>
  <c r="C14" i="7"/>
  <c r="B14" i="7"/>
  <c r="D14" i="7"/>
  <c r="F14" i="6"/>
  <c r="E14" i="6"/>
  <c r="F14" i="4"/>
  <c r="F14" i="5"/>
  <c r="E14" i="5"/>
  <c r="E14" i="4"/>
  <c r="D14" i="1"/>
  <c r="B14" i="1"/>
  <c r="C14" i="1"/>
  <c r="D14" i="3"/>
  <c r="C14" i="3"/>
  <c r="B14" i="3"/>
  <c r="Q11" i="11" l="1"/>
  <c r="S11" i="11" s="1"/>
  <c r="D12" i="11" s="1"/>
  <c r="D13" i="9"/>
  <c r="E13" i="9" s="1"/>
  <c r="I13" i="9" s="1"/>
  <c r="J13" i="9" s="1"/>
  <c r="K13" i="9" s="1"/>
  <c r="L13" i="9" s="1"/>
  <c r="F14" i="7"/>
  <c r="E14" i="7"/>
  <c r="G14" i="7" s="1"/>
  <c r="A15" i="7" s="1"/>
  <c r="G14" i="6"/>
  <c r="A15" i="6" s="1"/>
  <c r="B15" i="6" s="1"/>
  <c r="G14" i="5"/>
  <c r="A15" i="5" s="1"/>
  <c r="C15" i="5" s="1"/>
  <c r="D15" i="5"/>
  <c r="G14" i="4"/>
  <c r="A15" i="4" s="1"/>
  <c r="D15" i="4" s="1"/>
  <c r="F14" i="1"/>
  <c r="E14" i="1"/>
  <c r="E14" i="3"/>
  <c r="F14" i="3"/>
  <c r="B12" i="11" l="1"/>
  <c r="G12" i="11" s="1"/>
  <c r="K12" i="11" s="1"/>
  <c r="M12" i="11" s="1"/>
  <c r="N12" i="11" s="1"/>
  <c r="A14" i="9"/>
  <c r="D14" i="9" s="1"/>
  <c r="E14" i="9" s="1"/>
  <c r="M13" i="9"/>
  <c r="B15" i="5"/>
  <c r="D15" i="7"/>
  <c r="C15" i="7"/>
  <c r="F15" i="7" s="1"/>
  <c r="B15" i="7"/>
  <c r="C15" i="6"/>
  <c r="D15" i="6"/>
  <c r="F15" i="5"/>
  <c r="E15" i="5"/>
  <c r="B15" i="4"/>
  <c r="C15" i="4"/>
  <c r="F15" i="4" s="1"/>
  <c r="G14" i="1"/>
  <c r="A15" i="1" s="1"/>
  <c r="G14" i="3"/>
  <c r="A15" i="3" s="1"/>
  <c r="O12" i="11" l="1"/>
  <c r="Q12" i="11" s="1"/>
  <c r="B13" i="11" s="1"/>
  <c r="G13" i="11" s="1"/>
  <c r="B14" i="9"/>
  <c r="I14" i="9" s="1"/>
  <c r="J14" i="9" s="1"/>
  <c r="K14" i="9" s="1"/>
  <c r="L14" i="9" s="1"/>
  <c r="G15" i="5"/>
  <c r="A16" i="5" s="1"/>
  <c r="C16" i="5" s="1"/>
  <c r="E15" i="7"/>
  <c r="F15" i="6"/>
  <c r="E15" i="6"/>
  <c r="E15" i="4"/>
  <c r="G15" i="4" s="1"/>
  <c r="A16" i="4" s="1"/>
  <c r="B15" i="1"/>
  <c r="D15" i="1"/>
  <c r="C15" i="1"/>
  <c r="B15" i="3"/>
  <c r="D15" i="3"/>
  <c r="C15" i="3"/>
  <c r="R12" i="11" l="1"/>
  <c r="C13" i="11" s="1"/>
  <c r="J13" i="11" s="1"/>
  <c r="K13" i="11" s="1"/>
  <c r="A15" i="9"/>
  <c r="D15" i="9" s="1"/>
  <c r="E15" i="9" s="1"/>
  <c r="M14" i="9"/>
  <c r="D16" i="5"/>
  <c r="F16" i="5" s="1"/>
  <c r="B16" i="5"/>
  <c r="G15" i="7"/>
  <c r="A16" i="7" s="1"/>
  <c r="G15" i="6"/>
  <c r="A16" i="6" s="1"/>
  <c r="B16" i="6" s="1"/>
  <c r="E16" i="5"/>
  <c r="C16" i="4"/>
  <c r="E15" i="1"/>
  <c r="F15" i="1"/>
  <c r="B16" i="4"/>
  <c r="D16" i="4"/>
  <c r="E15" i="3"/>
  <c r="F15" i="3"/>
  <c r="S12" i="11" l="1"/>
  <c r="D13" i="11" s="1"/>
  <c r="M13" i="11" s="1"/>
  <c r="N13" i="11" s="1"/>
  <c r="B15" i="9"/>
  <c r="I15" i="9" s="1"/>
  <c r="D16" i="7"/>
  <c r="C16" i="7"/>
  <c r="F16" i="7" s="1"/>
  <c r="B16" i="7"/>
  <c r="D16" i="6"/>
  <c r="C16" i="6"/>
  <c r="E16" i="6" s="1"/>
  <c r="F16" i="4"/>
  <c r="G16" i="5"/>
  <c r="A17" i="5" s="1"/>
  <c r="E16" i="4"/>
  <c r="G15" i="1"/>
  <c r="A16" i="1" s="1"/>
  <c r="B16" i="1" s="1"/>
  <c r="C16" i="1"/>
  <c r="D16" i="1"/>
  <c r="G15" i="3"/>
  <c r="A16" i="3" s="1"/>
  <c r="E16" i="1"/>
  <c r="O13" i="11" l="1"/>
  <c r="Q13" i="11" s="1"/>
  <c r="B14" i="11" s="1"/>
  <c r="G14" i="11" s="1"/>
  <c r="J15" i="9"/>
  <c r="K15" i="9" s="1"/>
  <c r="L15" i="9" s="1"/>
  <c r="E16" i="7"/>
  <c r="F16" i="6"/>
  <c r="G16" i="6" s="1"/>
  <c r="A17" i="6" s="1"/>
  <c r="C17" i="6" s="1"/>
  <c r="E17" i="6" s="1"/>
  <c r="B17" i="5"/>
  <c r="D17" i="5"/>
  <c r="C17" i="5"/>
  <c r="G16" i="4"/>
  <c r="A17" i="4" s="1"/>
  <c r="B17" i="4" s="1"/>
  <c r="F16" i="1"/>
  <c r="G16" i="1" s="1"/>
  <c r="A17" i="1" s="1"/>
  <c r="B16" i="3"/>
  <c r="C16" i="3"/>
  <c r="D16" i="3"/>
  <c r="R13" i="11" l="1"/>
  <c r="C14" i="11" s="1"/>
  <c r="J14" i="11" s="1"/>
  <c r="K14" i="11" s="1"/>
  <c r="A16" i="9"/>
  <c r="B16" i="9" s="1"/>
  <c r="M15" i="9"/>
  <c r="G16" i="7"/>
  <c r="A17" i="7" s="1"/>
  <c r="D17" i="6"/>
  <c r="F17" i="6" s="1"/>
  <c r="G17" i="6" s="1"/>
  <c r="A18" i="6" s="1"/>
  <c r="D18" i="6" s="1"/>
  <c r="B17" i="6"/>
  <c r="F17" i="5"/>
  <c r="E17" i="5"/>
  <c r="D17" i="4"/>
  <c r="C17" i="4"/>
  <c r="F17" i="4" s="1"/>
  <c r="F16" i="3"/>
  <c r="E16" i="3"/>
  <c r="C17" i="1"/>
  <c r="D17" i="1"/>
  <c r="B17" i="1"/>
  <c r="S13" i="11" l="1"/>
  <c r="D14" i="11" s="1"/>
  <c r="M14" i="11" s="1"/>
  <c r="N14" i="11" s="1"/>
  <c r="D16" i="9"/>
  <c r="E16" i="9" s="1"/>
  <c r="I16" i="9" s="1"/>
  <c r="J16" i="9" s="1"/>
  <c r="K16" i="9" s="1"/>
  <c r="L16" i="9" s="1"/>
  <c r="B17" i="7"/>
  <c r="D17" i="7"/>
  <c r="C17" i="7"/>
  <c r="B18" i="6"/>
  <c r="C18" i="6"/>
  <c r="G17" i="5"/>
  <c r="A18" i="5" s="1"/>
  <c r="B18" i="5" s="1"/>
  <c r="E17" i="4"/>
  <c r="F17" i="1"/>
  <c r="G16" i="3"/>
  <c r="A17" i="3" s="1"/>
  <c r="E17" i="1"/>
  <c r="O14" i="11" l="1"/>
  <c r="Q14" i="11" s="1"/>
  <c r="B15" i="11" s="1"/>
  <c r="G15" i="11" s="1"/>
  <c r="A17" i="9"/>
  <c r="B17" i="9" s="1"/>
  <c r="M16" i="9"/>
  <c r="D18" i="5"/>
  <c r="C18" i="5"/>
  <c r="F18" i="5" s="1"/>
  <c r="F17" i="7"/>
  <c r="E17" i="7"/>
  <c r="F18" i="6"/>
  <c r="E18" i="6"/>
  <c r="G17" i="4"/>
  <c r="A18" i="4" s="1"/>
  <c r="D18" i="4" s="1"/>
  <c r="G17" i="1"/>
  <c r="A18" i="1" s="1"/>
  <c r="C17" i="3"/>
  <c r="D17" i="3"/>
  <c r="B17" i="3"/>
  <c r="R14" i="11" l="1"/>
  <c r="C15" i="11" s="1"/>
  <c r="J15" i="11" s="1"/>
  <c r="K15" i="11" s="1"/>
  <c r="D17" i="9"/>
  <c r="E17" i="9" s="1"/>
  <c r="I17" i="9" s="1"/>
  <c r="J17" i="9" s="1"/>
  <c r="K17" i="9" s="1"/>
  <c r="L17" i="9" s="1"/>
  <c r="E18" i="5"/>
  <c r="G18" i="5" s="1"/>
  <c r="A19" i="5" s="1"/>
  <c r="G17" i="7"/>
  <c r="A18" i="7" s="1"/>
  <c r="G18" i="6"/>
  <c r="A19" i="6" s="1"/>
  <c r="C18" i="4"/>
  <c r="F18" i="4" s="1"/>
  <c r="B18" i="4"/>
  <c r="F17" i="3"/>
  <c r="E17" i="3"/>
  <c r="B18" i="1"/>
  <c r="C18" i="1"/>
  <c r="D18" i="1"/>
  <c r="S14" i="11" l="1"/>
  <c r="D15" i="11" s="1"/>
  <c r="M15" i="11" s="1"/>
  <c r="N15" i="11" s="1"/>
  <c r="O15" i="11" s="1"/>
  <c r="Q15" i="11" s="1"/>
  <c r="A18" i="9"/>
  <c r="D18" i="9" s="1"/>
  <c r="E18" i="9" s="1"/>
  <c r="M17" i="9"/>
  <c r="C18" i="7"/>
  <c r="B18" i="7"/>
  <c r="D18" i="7"/>
  <c r="B19" i="6"/>
  <c r="D19" i="6"/>
  <c r="C19" i="6"/>
  <c r="D19" i="5"/>
  <c r="C19" i="5"/>
  <c r="B19" i="5"/>
  <c r="E18" i="4"/>
  <c r="G18" i="4" s="1"/>
  <c r="A19" i="4" s="1"/>
  <c r="C19" i="4" s="1"/>
  <c r="F18" i="1"/>
  <c r="G17" i="3"/>
  <c r="A18" i="3" s="1"/>
  <c r="E18" i="1"/>
  <c r="R15" i="11" l="1"/>
  <c r="C16" i="11" s="1"/>
  <c r="J16" i="11" s="1"/>
  <c r="B16" i="11"/>
  <c r="G16" i="11" s="1"/>
  <c r="B18" i="9"/>
  <c r="I18" i="9" s="1"/>
  <c r="J18" i="9" s="1"/>
  <c r="K18" i="9" s="1"/>
  <c r="L18" i="9" s="1"/>
  <c r="M18" i="9" s="1"/>
  <c r="F18" i="7"/>
  <c r="E18" i="7"/>
  <c r="G18" i="7" s="1"/>
  <c r="A19" i="7" s="1"/>
  <c r="E19" i="6"/>
  <c r="F19" i="6"/>
  <c r="F19" i="5"/>
  <c r="E19" i="5"/>
  <c r="B19" i="4"/>
  <c r="D19" i="4"/>
  <c r="F19" i="4" s="1"/>
  <c r="G18" i="1"/>
  <c r="A19" i="1" s="1"/>
  <c r="E19" i="4"/>
  <c r="D18" i="3"/>
  <c r="C18" i="3"/>
  <c r="B18" i="3"/>
  <c r="S15" i="11" l="1"/>
  <c r="D16" i="11" s="1"/>
  <c r="K16" i="11"/>
  <c r="A19" i="9"/>
  <c r="D19" i="7"/>
  <c r="C19" i="7"/>
  <c r="F19" i="7" s="1"/>
  <c r="B19" i="7"/>
  <c r="G19" i="6"/>
  <c r="A20" i="6" s="1"/>
  <c r="G19" i="5"/>
  <c r="A20" i="5" s="1"/>
  <c r="G19" i="4"/>
  <c r="A20" i="4" s="1"/>
  <c r="E18" i="3"/>
  <c r="F18" i="3"/>
  <c r="B19" i="1"/>
  <c r="D19" i="1"/>
  <c r="C19" i="1"/>
  <c r="M16" i="11" l="1"/>
  <c r="N16" i="11" s="1"/>
  <c r="O16" i="11" s="1"/>
  <c r="Q16" i="11" s="1"/>
  <c r="B17" i="11" s="1"/>
  <c r="G17" i="11" s="1"/>
  <c r="D19" i="9"/>
  <c r="E19" i="9" s="1"/>
  <c r="B19" i="9"/>
  <c r="E19" i="7"/>
  <c r="G19" i="7" s="1"/>
  <c r="A20" i="7" s="1"/>
  <c r="D20" i="6"/>
  <c r="C20" i="6"/>
  <c r="B20" i="6"/>
  <c r="D20" i="5"/>
  <c r="C20" i="5"/>
  <c r="B20" i="5"/>
  <c r="C20" i="4"/>
  <c r="D20" i="4"/>
  <c r="B20" i="4"/>
  <c r="F19" i="1"/>
  <c r="G18" i="3"/>
  <c r="A19" i="3" s="1"/>
  <c r="E19" i="1"/>
  <c r="R16" i="11" l="1"/>
  <c r="C17" i="11" s="1"/>
  <c r="J17" i="11" s="1"/>
  <c r="K17" i="11" s="1"/>
  <c r="I19" i="9"/>
  <c r="J19" i="9" s="1"/>
  <c r="K19" i="9" s="1"/>
  <c r="L19" i="9" s="1"/>
  <c r="A20" i="9" s="1"/>
  <c r="D20" i="9" s="1"/>
  <c r="E20" i="9" s="1"/>
  <c r="D20" i="7"/>
  <c r="B20" i="7"/>
  <c r="C20" i="7"/>
  <c r="F20" i="6"/>
  <c r="E20" i="6"/>
  <c r="F20" i="4"/>
  <c r="E20" i="5"/>
  <c r="F20" i="5"/>
  <c r="E20" i="4"/>
  <c r="G19" i="1"/>
  <c r="A20" i="1" s="1"/>
  <c r="D19" i="3"/>
  <c r="B19" i="3"/>
  <c r="C19" i="3"/>
  <c r="S16" i="11" l="1"/>
  <c r="D17" i="11" s="1"/>
  <c r="M17" i="11" s="1"/>
  <c r="M19" i="9"/>
  <c r="B20" i="9"/>
  <c r="I20" i="9" s="1"/>
  <c r="J20" i="9" s="1"/>
  <c r="K20" i="9" s="1"/>
  <c r="L20" i="9" s="1"/>
  <c r="F20" i="7"/>
  <c r="E20" i="7"/>
  <c r="G20" i="6"/>
  <c r="A21" i="6" s="1"/>
  <c r="C21" i="6" s="1"/>
  <c r="E21" i="6" s="1"/>
  <c r="G20" i="5"/>
  <c r="A21" i="5" s="1"/>
  <c r="G20" i="4"/>
  <c r="A21" i="4" s="1"/>
  <c r="E19" i="3"/>
  <c r="F19" i="3"/>
  <c r="D20" i="1"/>
  <c r="B20" i="1"/>
  <c r="C20" i="1"/>
  <c r="N17" i="11" l="1"/>
  <c r="O17" i="11" s="1"/>
  <c r="Q17" i="11" s="1"/>
  <c r="A21" i="9"/>
  <c r="D21" i="9" s="1"/>
  <c r="E21" i="9" s="1"/>
  <c r="M20" i="9"/>
  <c r="G20" i="7"/>
  <c r="A21" i="7" s="1"/>
  <c r="B21" i="6"/>
  <c r="D21" i="6"/>
  <c r="F21" i="6" s="1"/>
  <c r="G21" i="6" s="1"/>
  <c r="A22" i="6" s="1"/>
  <c r="B21" i="5"/>
  <c r="D21" i="5"/>
  <c r="C21" i="5"/>
  <c r="B21" i="4"/>
  <c r="D21" i="4"/>
  <c r="C21" i="4"/>
  <c r="F20" i="1"/>
  <c r="G19" i="3"/>
  <c r="A20" i="3" s="1"/>
  <c r="E20" i="1"/>
  <c r="B18" i="11" l="1"/>
  <c r="G18" i="11" s="1"/>
  <c r="R17" i="11"/>
  <c r="C18" i="11" s="1"/>
  <c r="J18" i="11" s="1"/>
  <c r="B21" i="9"/>
  <c r="I21" i="9" s="1"/>
  <c r="B21" i="7"/>
  <c r="C21" i="7"/>
  <c r="D21" i="7"/>
  <c r="C22" i="6"/>
  <c r="D22" i="6"/>
  <c r="B22" i="6"/>
  <c r="F21" i="4"/>
  <c r="F21" i="5"/>
  <c r="E21" i="5"/>
  <c r="E21" i="4"/>
  <c r="G20" i="1"/>
  <c r="B20" i="3"/>
  <c r="C20" i="3"/>
  <c r="D20" i="3"/>
  <c r="S17" i="11" l="1"/>
  <c r="D18" i="11" s="1"/>
  <c r="K18" i="11"/>
  <c r="J21" i="9"/>
  <c r="K21" i="9" s="1"/>
  <c r="L21" i="9" s="1"/>
  <c r="F21" i="7"/>
  <c r="E21" i="7"/>
  <c r="G21" i="7" s="1"/>
  <c r="A22" i="7" s="1"/>
  <c r="F22" i="6"/>
  <c r="E22" i="6"/>
  <c r="G21" i="5"/>
  <c r="A22" i="5" s="1"/>
  <c r="G21" i="4"/>
  <c r="A22" i="4" s="1"/>
  <c r="F20" i="3"/>
  <c r="E20" i="3"/>
  <c r="G20" i="3" s="1"/>
  <c r="M18" i="11" l="1"/>
  <c r="N18" i="11" s="1"/>
  <c r="O18" i="11" s="1"/>
  <c r="Q18" i="11" s="1"/>
  <c r="A22" i="9"/>
  <c r="B22" i="9" s="1"/>
  <c r="M21" i="9"/>
  <c r="C22" i="7"/>
  <c r="B22" i="7"/>
  <c r="D22" i="7"/>
  <c r="G22" i="6"/>
  <c r="A23" i="6" s="1"/>
  <c r="C22" i="5"/>
  <c r="B22" i="5"/>
  <c r="D22" i="5"/>
  <c r="B22" i="4"/>
  <c r="D22" i="4"/>
  <c r="C22" i="4"/>
  <c r="F22" i="4" s="1"/>
  <c r="B19" i="11" l="1"/>
  <c r="G19" i="11" s="1"/>
  <c r="R18" i="11"/>
  <c r="C19" i="11" s="1"/>
  <c r="J19" i="11" s="1"/>
  <c r="D22" i="9"/>
  <c r="E22" i="9" s="1"/>
  <c r="I22" i="9" s="1"/>
  <c r="F22" i="7"/>
  <c r="E22" i="7"/>
  <c r="G22" i="7" s="1"/>
  <c r="A23" i="7" s="1"/>
  <c r="B23" i="6"/>
  <c r="C23" i="6"/>
  <c r="D23" i="6"/>
  <c r="F22" i="5"/>
  <c r="E22" i="5"/>
  <c r="E22" i="4"/>
  <c r="S18" i="11" l="1"/>
  <c r="D19" i="11" s="1"/>
  <c r="K19" i="11"/>
  <c r="J22" i="9"/>
  <c r="K22" i="9" s="1"/>
  <c r="L22" i="9" s="1"/>
  <c r="D23" i="7"/>
  <c r="C23" i="7"/>
  <c r="F23" i="7" s="1"/>
  <c r="B23" i="7"/>
  <c r="F23" i="6"/>
  <c r="E23" i="6"/>
  <c r="G22" i="5"/>
  <c r="A23" i="5" s="1"/>
  <c r="G22" i="4"/>
  <c r="A23" i="4" s="1"/>
  <c r="M19" i="11" l="1"/>
  <c r="N19" i="11" s="1"/>
  <c r="A23" i="9"/>
  <c r="D23" i="9" s="1"/>
  <c r="E23" i="9" s="1"/>
  <c r="M22" i="9"/>
  <c r="E23" i="7"/>
  <c r="G23" i="6"/>
  <c r="A24" i="6" s="1"/>
  <c r="D23" i="5"/>
  <c r="C23" i="5"/>
  <c r="B23" i="5"/>
  <c r="B23" i="4"/>
  <c r="C23" i="4"/>
  <c r="D23" i="4"/>
  <c r="O19" i="11" l="1"/>
  <c r="Q19" i="11" s="1"/>
  <c r="B23" i="9"/>
  <c r="I23" i="9" s="1"/>
  <c r="G23" i="7"/>
  <c r="A24" i="7" s="1"/>
  <c r="C24" i="6"/>
  <c r="E24" i="6" s="1"/>
  <c r="B24" i="6"/>
  <c r="D24" i="6"/>
  <c r="F24" i="6" s="1"/>
  <c r="F23" i="4"/>
  <c r="F23" i="5"/>
  <c r="E23" i="5"/>
  <c r="E23" i="4"/>
  <c r="R19" i="11" l="1"/>
  <c r="C20" i="11" s="1"/>
  <c r="J20" i="11" s="1"/>
  <c r="B20" i="11"/>
  <c r="G20" i="11" s="1"/>
  <c r="J23" i="9"/>
  <c r="K23" i="9" s="1"/>
  <c r="L23" i="9" s="1"/>
  <c r="G23" i="5"/>
  <c r="A24" i="5" s="1"/>
  <c r="C24" i="5" s="1"/>
  <c r="D24" i="7"/>
  <c r="C24" i="7"/>
  <c r="F24" i="7" s="1"/>
  <c r="B24" i="7"/>
  <c r="G24" i="6"/>
  <c r="A25" i="6" s="1"/>
  <c r="C25" i="6" s="1"/>
  <c r="D24" i="5"/>
  <c r="G23" i="4"/>
  <c r="A24" i="4" s="1"/>
  <c r="S19" i="11" l="1"/>
  <c r="D20" i="11" s="1"/>
  <c r="K20" i="11"/>
  <c r="A24" i="9"/>
  <c r="B24" i="9" s="1"/>
  <c r="M23" i="9"/>
  <c r="B24" i="5"/>
  <c r="E24" i="7"/>
  <c r="E25" i="6"/>
  <c r="B25" i="6"/>
  <c r="D25" i="6"/>
  <c r="F25" i="6" s="1"/>
  <c r="G25" i="6" s="1"/>
  <c r="A26" i="6" s="1"/>
  <c r="E24" i="5"/>
  <c r="F24" i="5"/>
  <c r="D24" i="4"/>
  <c r="B24" i="4"/>
  <c r="C24" i="4"/>
  <c r="M20" i="11" l="1"/>
  <c r="N20" i="11" s="1"/>
  <c r="D24" i="9"/>
  <c r="E24" i="9" s="1"/>
  <c r="I24" i="9" s="1"/>
  <c r="J24" i="9" s="1"/>
  <c r="G24" i="7"/>
  <c r="A25" i="7" s="1"/>
  <c r="B26" i="6"/>
  <c r="D26" i="6"/>
  <c r="C26" i="6"/>
  <c r="F24" i="4"/>
  <c r="G24" i="5"/>
  <c r="A25" i="5" s="1"/>
  <c r="E24" i="4"/>
  <c r="O20" i="11" l="1"/>
  <c r="Q20" i="11" s="1"/>
  <c r="B21" i="11" s="1"/>
  <c r="G21" i="11" s="1"/>
  <c r="K24" i="9"/>
  <c r="L24" i="9" s="1"/>
  <c r="B25" i="7"/>
  <c r="D25" i="7"/>
  <c r="C25" i="7"/>
  <c r="F26" i="6"/>
  <c r="E26" i="6"/>
  <c r="B25" i="5"/>
  <c r="D25" i="5"/>
  <c r="C25" i="5"/>
  <c r="G24" i="4"/>
  <c r="A25" i="4" s="1"/>
  <c r="D25" i="4" s="1"/>
  <c r="R20" i="11" l="1"/>
  <c r="C21" i="11" s="1"/>
  <c r="J21" i="11" s="1"/>
  <c r="K21" i="11" s="1"/>
  <c r="A25" i="9"/>
  <c r="B25" i="9" s="1"/>
  <c r="M24" i="9"/>
  <c r="F25" i="7"/>
  <c r="E25" i="7"/>
  <c r="G25" i="7" s="1"/>
  <c r="A26" i="7" s="1"/>
  <c r="G26" i="6"/>
  <c r="A27" i="6" s="1"/>
  <c r="D27" i="6" s="1"/>
  <c r="F25" i="5"/>
  <c r="E25" i="5"/>
  <c r="C25" i="4"/>
  <c r="F25" i="4" s="1"/>
  <c r="B25" i="4"/>
  <c r="S20" i="11" l="1"/>
  <c r="D21" i="11" s="1"/>
  <c r="M21" i="11" s="1"/>
  <c r="N21" i="11" s="1"/>
  <c r="O21" i="11" s="1"/>
  <c r="Q21" i="11" s="1"/>
  <c r="B22" i="11" s="1"/>
  <c r="G22" i="11" s="1"/>
  <c r="D25" i="9"/>
  <c r="E25" i="9" s="1"/>
  <c r="I25" i="9" s="1"/>
  <c r="J25" i="9" s="1"/>
  <c r="C26" i="7"/>
  <c r="B26" i="7"/>
  <c r="D26" i="7"/>
  <c r="B27" i="6"/>
  <c r="C27" i="6"/>
  <c r="F27" i="6" s="1"/>
  <c r="E25" i="4"/>
  <c r="G25" i="4" s="1"/>
  <c r="A26" i="4" s="1"/>
  <c r="G25" i="5"/>
  <c r="A26" i="5" s="1"/>
  <c r="R21" i="11" l="1"/>
  <c r="C22" i="11" s="1"/>
  <c r="J22" i="11" s="1"/>
  <c r="K22" i="11" s="1"/>
  <c r="K25" i="9"/>
  <c r="L25" i="9" s="1"/>
  <c r="F26" i="7"/>
  <c r="E26" i="7"/>
  <c r="E27" i="6"/>
  <c r="G27" i="6" s="1"/>
  <c r="A28" i="6" s="1"/>
  <c r="C26" i="5"/>
  <c r="B26" i="5"/>
  <c r="D26" i="5"/>
  <c r="B26" i="4"/>
  <c r="D26" i="4"/>
  <c r="C26" i="4"/>
  <c r="S21" i="11" l="1"/>
  <c r="D22" i="11" s="1"/>
  <c r="M22" i="11" s="1"/>
  <c r="N22" i="11" s="1"/>
  <c r="A26" i="9"/>
  <c r="D26" i="9" s="1"/>
  <c r="E26" i="9" s="1"/>
  <c r="M25" i="9"/>
  <c r="G26" i="7"/>
  <c r="A27" i="7" s="1"/>
  <c r="C27" i="7" s="1"/>
  <c r="C28" i="6"/>
  <c r="D28" i="6"/>
  <c r="B28" i="6"/>
  <c r="F26" i="4"/>
  <c r="F26" i="5"/>
  <c r="E26" i="5"/>
  <c r="E26" i="4"/>
  <c r="O22" i="11" l="1"/>
  <c r="Q22" i="11" s="1"/>
  <c r="B26" i="9"/>
  <c r="I26" i="9" s="1"/>
  <c r="J26" i="9" s="1"/>
  <c r="K26" i="9" s="1"/>
  <c r="L26" i="9" s="1"/>
  <c r="M26" i="9" s="1"/>
  <c r="G26" i="5"/>
  <c r="A27" i="5" s="1"/>
  <c r="D27" i="5" s="1"/>
  <c r="D27" i="7"/>
  <c r="F27" i="7" s="1"/>
  <c r="B27" i="7"/>
  <c r="E27" i="7"/>
  <c r="F28" i="6"/>
  <c r="E28" i="6"/>
  <c r="G26" i="4"/>
  <c r="A27" i="4" s="1"/>
  <c r="B23" i="11" l="1"/>
  <c r="G23" i="11" s="1"/>
  <c r="R22" i="11"/>
  <c r="C23" i="11" s="1"/>
  <c r="J23" i="11" s="1"/>
  <c r="A27" i="9"/>
  <c r="D27" i="9" s="1"/>
  <c r="E27" i="9" s="1"/>
  <c r="C27" i="5"/>
  <c r="F27" i="5" s="1"/>
  <c r="B27" i="5"/>
  <c r="G27" i="7"/>
  <c r="A28" i="7" s="1"/>
  <c r="B28" i="7" s="1"/>
  <c r="G28" i="6"/>
  <c r="A29" i="6" s="1"/>
  <c r="E27" i="5"/>
  <c r="C27" i="4"/>
  <c r="B27" i="4"/>
  <c r="D27" i="4"/>
  <c r="K23" i="11" l="1"/>
  <c r="S22" i="11"/>
  <c r="D23" i="11" s="1"/>
  <c r="B27" i="9"/>
  <c r="I27" i="9" s="1"/>
  <c r="J27" i="9" s="1"/>
  <c r="K27" i="9" s="1"/>
  <c r="L27" i="9" s="1"/>
  <c r="A28" i="9" s="1"/>
  <c r="B28" i="9" s="1"/>
  <c r="D28" i="7"/>
  <c r="C28" i="7"/>
  <c r="F28" i="7" s="1"/>
  <c r="D29" i="6"/>
  <c r="B29" i="6"/>
  <c r="C29" i="6"/>
  <c r="F29" i="6" s="1"/>
  <c r="F27" i="4"/>
  <c r="G27" i="5"/>
  <c r="A28" i="5" s="1"/>
  <c r="E27" i="4"/>
  <c r="M23" i="11" l="1"/>
  <c r="M27" i="9"/>
  <c r="D28" i="9"/>
  <c r="E28" i="9" s="1"/>
  <c r="I28" i="9" s="1"/>
  <c r="J28" i="9" s="1"/>
  <c r="E28" i="7"/>
  <c r="G28" i="7"/>
  <c r="A29" i="7" s="1"/>
  <c r="E29" i="6"/>
  <c r="D28" i="5"/>
  <c r="C28" i="5"/>
  <c r="B28" i="5"/>
  <c r="G27" i="4"/>
  <c r="A28" i="4" s="1"/>
  <c r="N23" i="11" l="1"/>
  <c r="O23" i="11" s="1"/>
  <c r="K28" i="9"/>
  <c r="L28" i="9" s="1"/>
  <c r="B29" i="7"/>
  <c r="C29" i="7"/>
  <c r="D29" i="7"/>
  <c r="G29" i="6"/>
  <c r="A30" i="6" s="1"/>
  <c r="E28" i="5"/>
  <c r="F28" i="5"/>
  <c r="C28" i="4"/>
  <c r="B28" i="4"/>
  <c r="D28" i="4"/>
  <c r="Q23" i="11" l="1"/>
  <c r="B24" i="11" s="1"/>
  <c r="G24" i="11" s="1"/>
  <c r="A29" i="9"/>
  <c r="B29" i="9" s="1"/>
  <c r="M28" i="9"/>
  <c r="F29" i="7"/>
  <c r="E29" i="7"/>
  <c r="G29" i="7" s="1"/>
  <c r="A30" i="7" s="1"/>
  <c r="D30" i="6"/>
  <c r="C30" i="6"/>
  <c r="B30" i="6"/>
  <c r="F28" i="4"/>
  <c r="G28" i="5"/>
  <c r="A29" i="5" s="1"/>
  <c r="E28" i="4"/>
  <c r="R23" i="11" l="1"/>
  <c r="D29" i="9"/>
  <c r="E29" i="9" s="1"/>
  <c r="I29" i="9" s="1"/>
  <c r="J29" i="9" s="1"/>
  <c r="K29" i="9" s="1"/>
  <c r="L29" i="9" s="1"/>
  <c r="C30" i="7"/>
  <c r="B30" i="7"/>
  <c r="D30" i="7"/>
  <c r="F30" i="6"/>
  <c r="E30" i="6"/>
  <c r="B29" i="5"/>
  <c r="D29" i="5"/>
  <c r="C29" i="5"/>
  <c r="G28" i="4"/>
  <c r="A29" i="4" s="1"/>
  <c r="C24" i="11" l="1"/>
  <c r="J24" i="11" s="1"/>
  <c r="K24" i="11" s="1"/>
  <c r="S23" i="11"/>
  <c r="D24" i="11" s="1"/>
  <c r="A30" i="9"/>
  <c r="D30" i="9" s="1"/>
  <c r="E30" i="9" s="1"/>
  <c r="M29" i="9"/>
  <c r="F30" i="7"/>
  <c r="E30" i="7"/>
  <c r="G30" i="7" s="1"/>
  <c r="A31" i="7" s="1"/>
  <c r="G30" i="6"/>
  <c r="A31" i="6" s="1"/>
  <c r="F29" i="5"/>
  <c r="E29" i="5"/>
  <c r="G29" i="5" s="1"/>
  <c r="A30" i="5" s="1"/>
  <c r="D29" i="4"/>
  <c r="C29" i="4"/>
  <c r="F29" i="4" s="1"/>
  <c r="B29" i="4"/>
  <c r="M24" i="11" l="1"/>
  <c r="B30" i="9"/>
  <c r="I30" i="9" s="1"/>
  <c r="J30" i="9" s="1"/>
  <c r="D31" i="7"/>
  <c r="C31" i="7"/>
  <c r="F31" i="7" s="1"/>
  <c r="B31" i="7"/>
  <c r="B31" i="6"/>
  <c r="D31" i="6"/>
  <c r="C31" i="6"/>
  <c r="C30" i="5"/>
  <c r="B30" i="5"/>
  <c r="D30" i="5"/>
  <c r="E29" i="4"/>
  <c r="N24" i="11" l="1"/>
  <c r="K30" i="9"/>
  <c r="L30" i="9" s="1"/>
  <c r="E31" i="7"/>
  <c r="F31" i="6"/>
  <c r="E31" i="6"/>
  <c r="F30" i="5"/>
  <c r="E30" i="5"/>
  <c r="G29" i="4"/>
  <c r="A30" i="4" s="1"/>
  <c r="O24" i="11" l="1"/>
  <c r="Q24" i="11" s="1"/>
  <c r="B25" i="11" s="1"/>
  <c r="G25" i="11" s="1"/>
  <c r="A31" i="9"/>
  <c r="M30" i="9"/>
  <c r="G31" i="7"/>
  <c r="A32" i="7" s="1"/>
  <c r="G31" i="6"/>
  <c r="A32" i="6" s="1"/>
  <c r="C32" i="6" s="1"/>
  <c r="G30" i="5"/>
  <c r="A31" i="5" s="1"/>
  <c r="B30" i="4"/>
  <c r="D30" i="4"/>
  <c r="C30" i="4"/>
  <c r="F30" i="4" s="1"/>
  <c r="R24" i="11" l="1"/>
  <c r="C25" i="11" s="1"/>
  <c r="J25" i="11" s="1"/>
  <c r="K25" i="11" s="1"/>
  <c r="B31" i="9"/>
  <c r="D31" i="9"/>
  <c r="E31" i="9" s="1"/>
  <c r="D32" i="7"/>
  <c r="C32" i="7"/>
  <c r="F32" i="7" s="1"/>
  <c r="B32" i="7"/>
  <c r="D32" i="6"/>
  <c r="F32" i="6" s="1"/>
  <c r="B32" i="6"/>
  <c r="E32" i="6"/>
  <c r="D31" i="5"/>
  <c r="C31" i="5"/>
  <c r="B31" i="5"/>
  <c r="E30" i="4"/>
  <c r="S24" i="11" l="1"/>
  <c r="D25" i="11" s="1"/>
  <c r="M25" i="11" s="1"/>
  <c r="I31" i="9"/>
  <c r="E32" i="7"/>
  <c r="G32" i="6"/>
  <c r="A33" i="6" s="1"/>
  <c r="F31" i="5"/>
  <c r="E31" i="5"/>
  <c r="G30" i="4"/>
  <c r="A31" i="4" s="1"/>
  <c r="N25" i="11" l="1"/>
  <c r="O25" i="11" s="1"/>
  <c r="Q25" i="11" s="1"/>
  <c r="B26" i="11" s="1"/>
  <c r="G26" i="11" s="1"/>
  <c r="J31" i="9"/>
  <c r="K31" i="9" s="1"/>
  <c r="L31" i="9" s="1"/>
  <c r="G32" i="7"/>
  <c r="A33" i="7" s="1"/>
  <c r="D33" i="6"/>
  <c r="C33" i="6"/>
  <c r="B33" i="6"/>
  <c r="G31" i="5"/>
  <c r="A32" i="5" s="1"/>
  <c r="C31" i="4"/>
  <c r="B31" i="4"/>
  <c r="D31" i="4"/>
  <c r="R25" i="11" l="1"/>
  <c r="C26" i="11" s="1"/>
  <c r="J26" i="11" s="1"/>
  <c r="K26" i="11" s="1"/>
  <c r="A32" i="9"/>
  <c r="M31" i="9"/>
  <c r="B33" i="7"/>
  <c r="D33" i="7"/>
  <c r="C33" i="7"/>
  <c r="F33" i="6"/>
  <c r="E33" i="6"/>
  <c r="F31" i="4"/>
  <c r="D32" i="5"/>
  <c r="C32" i="5"/>
  <c r="B32" i="5"/>
  <c r="E31" i="4"/>
  <c r="S25" i="11" l="1"/>
  <c r="D26" i="11" s="1"/>
  <c r="M26" i="11" s="1"/>
  <c r="N26" i="11" s="1"/>
  <c r="D32" i="9"/>
  <c r="E32" i="9" s="1"/>
  <c r="B32" i="9"/>
  <c r="F33" i="7"/>
  <c r="E33" i="7"/>
  <c r="G33" i="7" s="1"/>
  <c r="A34" i="7" s="1"/>
  <c r="G33" i="6"/>
  <c r="A34" i="6" s="1"/>
  <c r="E32" i="5"/>
  <c r="F32" i="5"/>
  <c r="G31" i="4"/>
  <c r="A32" i="4" s="1"/>
  <c r="O26" i="11" l="1"/>
  <c r="Q26" i="11" s="1"/>
  <c r="I32" i="9"/>
  <c r="J32" i="9" s="1"/>
  <c r="C34" i="7"/>
  <c r="B34" i="7"/>
  <c r="D34" i="7"/>
  <c r="D34" i="6"/>
  <c r="C34" i="6"/>
  <c r="B34" i="6"/>
  <c r="G32" i="5"/>
  <c r="A33" i="5" s="1"/>
  <c r="C32" i="4"/>
  <c r="B32" i="4"/>
  <c r="D32" i="4"/>
  <c r="B27" i="11" l="1"/>
  <c r="G27" i="11" s="1"/>
  <c r="R26" i="11"/>
  <c r="C27" i="11" s="1"/>
  <c r="J27" i="11" s="1"/>
  <c r="K32" i="9"/>
  <c r="L32" i="9" s="1"/>
  <c r="A33" i="9" s="1"/>
  <c r="F34" i="7"/>
  <c r="E34" i="7"/>
  <c r="G34" i="7" s="1"/>
  <c r="A35" i="7" s="1"/>
  <c r="F34" i="6"/>
  <c r="E34" i="6"/>
  <c r="F32" i="4"/>
  <c r="B33" i="5"/>
  <c r="D33" i="5"/>
  <c r="C33" i="5"/>
  <c r="E32" i="4"/>
  <c r="K27" i="11" l="1"/>
  <c r="S26" i="11"/>
  <c r="D27" i="11" s="1"/>
  <c r="M32" i="9"/>
  <c r="D33" i="9"/>
  <c r="E33" i="9" s="1"/>
  <c r="B33" i="9"/>
  <c r="D35" i="7"/>
  <c r="C35" i="7"/>
  <c r="F35" i="7" s="1"/>
  <c r="B35" i="7"/>
  <c r="G34" i="6"/>
  <c r="A35" i="6" s="1"/>
  <c r="F33" i="5"/>
  <c r="E33" i="5"/>
  <c r="G32" i="4"/>
  <c r="A33" i="4" s="1"/>
  <c r="M27" i="11" l="1"/>
  <c r="I33" i="9"/>
  <c r="J33" i="9" s="1"/>
  <c r="K33" i="9" s="1"/>
  <c r="L33" i="9" s="1"/>
  <c r="A34" i="9" s="1"/>
  <c r="G33" i="5"/>
  <c r="A34" i="5" s="1"/>
  <c r="C34" i="5" s="1"/>
  <c r="E35" i="7"/>
  <c r="B35" i="6"/>
  <c r="C35" i="6"/>
  <c r="D35" i="6"/>
  <c r="D33" i="4"/>
  <c r="C33" i="4"/>
  <c r="B33" i="4"/>
  <c r="N27" i="11" l="1"/>
  <c r="O27" i="11" s="1"/>
  <c r="Q27" i="11" s="1"/>
  <c r="M33" i="9"/>
  <c r="B34" i="9"/>
  <c r="D34" i="9"/>
  <c r="E34" i="9" s="1"/>
  <c r="D34" i="5"/>
  <c r="F34" i="5" s="1"/>
  <c r="B34" i="5"/>
  <c r="G35" i="7"/>
  <c r="A36" i="7" s="1"/>
  <c r="F35" i="6"/>
  <c r="E35" i="6"/>
  <c r="F33" i="4"/>
  <c r="E34" i="5"/>
  <c r="E33" i="4"/>
  <c r="B28" i="11" l="1"/>
  <c r="G28" i="11" s="1"/>
  <c r="R27" i="11"/>
  <c r="C28" i="11" s="1"/>
  <c r="J28" i="11" s="1"/>
  <c r="I34" i="9"/>
  <c r="J34" i="9" s="1"/>
  <c r="K34" i="9" s="1"/>
  <c r="L34" i="9" s="1"/>
  <c r="D36" i="7"/>
  <c r="B36" i="7"/>
  <c r="C36" i="7"/>
  <c r="G35" i="6"/>
  <c r="A36" i="6" s="1"/>
  <c r="G34" i="5"/>
  <c r="A35" i="5" s="1"/>
  <c r="G33" i="4"/>
  <c r="A34" i="4" s="1"/>
  <c r="K28" i="11" l="1"/>
  <c r="S27" i="11"/>
  <c r="D28" i="11" s="1"/>
  <c r="A35" i="9"/>
  <c r="M34" i="9"/>
  <c r="F36" i="7"/>
  <c r="E36" i="7"/>
  <c r="C36" i="6"/>
  <c r="D36" i="6"/>
  <c r="B36" i="6"/>
  <c r="D35" i="5"/>
  <c r="C35" i="5"/>
  <c r="B35" i="5"/>
  <c r="B34" i="4"/>
  <c r="D34" i="4"/>
  <c r="C34" i="4"/>
  <c r="F34" i="4" s="1"/>
  <c r="M28" i="11" l="1"/>
  <c r="D35" i="9"/>
  <c r="E35" i="9" s="1"/>
  <c r="B35" i="9"/>
  <c r="G36" i="7"/>
  <c r="A37" i="7" s="1"/>
  <c r="F36" i="6"/>
  <c r="E36" i="6"/>
  <c r="F35" i="5"/>
  <c r="E35" i="5"/>
  <c r="E34" i="4"/>
  <c r="N28" i="11" l="1"/>
  <c r="I35" i="9"/>
  <c r="J35" i="9" s="1"/>
  <c r="K35" i="9" s="1"/>
  <c r="L35" i="9" s="1"/>
  <c r="B37" i="7"/>
  <c r="C37" i="7"/>
  <c r="D37" i="7"/>
  <c r="G36" i="6"/>
  <c r="A37" i="6" s="1"/>
  <c r="C37" i="6" s="1"/>
  <c r="G35" i="5"/>
  <c r="A36" i="5" s="1"/>
  <c r="G34" i="4"/>
  <c r="A35" i="4" s="1"/>
  <c r="O28" i="11" l="1"/>
  <c r="Q28" i="11" s="1"/>
  <c r="B29" i="11" s="1"/>
  <c r="G29" i="11" s="1"/>
  <c r="A36" i="9"/>
  <c r="M35" i="9"/>
  <c r="F37" i="7"/>
  <c r="E37" i="7"/>
  <c r="G37" i="7" s="1"/>
  <c r="A38" i="7" s="1"/>
  <c r="D37" i="6"/>
  <c r="F37" i="6" s="1"/>
  <c r="B37" i="6"/>
  <c r="E37" i="6"/>
  <c r="D36" i="5"/>
  <c r="C36" i="5"/>
  <c r="B36" i="5"/>
  <c r="D35" i="4"/>
  <c r="B35" i="4"/>
  <c r="C35" i="4"/>
  <c r="R28" i="11" l="1"/>
  <c r="B36" i="9"/>
  <c r="D36" i="9"/>
  <c r="E36" i="9" s="1"/>
  <c r="C38" i="7"/>
  <c r="B38" i="7"/>
  <c r="D38" i="7"/>
  <c r="G37" i="6"/>
  <c r="A38" i="6" s="1"/>
  <c r="F35" i="4"/>
  <c r="E36" i="5"/>
  <c r="F36" i="5"/>
  <c r="E35" i="4"/>
  <c r="C29" i="11" l="1"/>
  <c r="J29" i="11" s="1"/>
  <c r="K29" i="11" s="1"/>
  <c r="S28" i="11"/>
  <c r="D29" i="11" s="1"/>
  <c r="I36" i="9"/>
  <c r="J36" i="9" s="1"/>
  <c r="K36" i="9" s="1"/>
  <c r="L36" i="9" s="1"/>
  <c r="F38" i="7"/>
  <c r="E38" i="7"/>
  <c r="C38" i="6"/>
  <c r="B38" i="6"/>
  <c r="D38" i="6"/>
  <c r="G36" i="5"/>
  <c r="A37" i="5" s="1"/>
  <c r="G35" i="4"/>
  <c r="A36" i="4" s="1"/>
  <c r="M29" i="11" l="1"/>
  <c r="A37" i="9"/>
  <c r="M36" i="9"/>
  <c r="G38" i="7"/>
  <c r="A39" i="7" s="1"/>
  <c r="F38" i="6"/>
  <c r="E38" i="6"/>
  <c r="B37" i="5"/>
  <c r="D37" i="5"/>
  <c r="C37" i="5"/>
  <c r="D36" i="4"/>
  <c r="C36" i="4"/>
  <c r="B36" i="4"/>
  <c r="N29" i="11" l="1"/>
  <c r="O29" i="11" s="1"/>
  <c r="Q29" i="11" s="1"/>
  <c r="B37" i="9"/>
  <c r="D37" i="9"/>
  <c r="E37" i="9" s="1"/>
  <c r="D39" i="7"/>
  <c r="C39" i="7"/>
  <c r="F39" i="7" s="1"/>
  <c r="B39" i="7"/>
  <c r="G38" i="6"/>
  <c r="A39" i="6" s="1"/>
  <c r="F36" i="4"/>
  <c r="F37" i="5"/>
  <c r="E37" i="5"/>
  <c r="E36" i="4"/>
  <c r="B30" i="11" l="1"/>
  <c r="G30" i="11" s="1"/>
  <c r="R29" i="11"/>
  <c r="C30" i="11" s="1"/>
  <c r="J30" i="11" s="1"/>
  <c r="I37" i="9"/>
  <c r="J37" i="9" s="1"/>
  <c r="K37" i="9" s="1"/>
  <c r="L37" i="9" s="1"/>
  <c r="A38" i="9" s="1"/>
  <c r="E39" i="7"/>
  <c r="B39" i="6"/>
  <c r="D39" i="6"/>
  <c r="C39" i="6"/>
  <c r="G37" i="5"/>
  <c r="A38" i="5" s="1"/>
  <c r="G36" i="4"/>
  <c r="A37" i="4" s="1"/>
  <c r="S29" i="11" l="1"/>
  <c r="D30" i="11" s="1"/>
  <c r="K30" i="11"/>
  <c r="M37" i="9"/>
  <c r="D38" i="9"/>
  <c r="E38" i="9" s="1"/>
  <c r="B38" i="9"/>
  <c r="G39" i="7"/>
  <c r="A40" i="7" s="1"/>
  <c r="F39" i="6"/>
  <c r="E39" i="6"/>
  <c r="C38" i="5"/>
  <c r="B38" i="5"/>
  <c r="D38" i="5"/>
  <c r="B37" i="4"/>
  <c r="D37" i="4"/>
  <c r="C37" i="4"/>
  <c r="F37" i="4" s="1"/>
  <c r="M30" i="11" l="1"/>
  <c r="N30" i="11" s="1"/>
  <c r="O30" i="11" s="1"/>
  <c r="Q30" i="11" s="1"/>
  <c r="B31" i="11" s="1"/>
  <c r="G31" i="11" s="1"/>
  <c r="I38" i="9"/>
  <c r="J38" i="9" s="1"/>
  <c r="K38" i="9" s="1"/>
  <c r="L38" i="9" s="1"/>
  <c r="A39" i="9" s="1"/>
  <c r="D40" i="7"/>
  <c r="C40" i="7"/>
  <c r="F40" i="7" s="1"/>
  <c r="B40" i="7"/>
  <c r="G39" i="6"/>
  <c r="A40" i="6" s="1"/>
  <c r="D40" i="6" s="1"/>
  <c r="F38" i="5"/>
  <c r="E38" i="5"/>
  <c r="E37" i="4"/>
  <c r="R30" i="11" l="1"/>
  <c r="C31" i="11" s="1"/>
  <c r="J31" i="11" s="1"/>
  <c r="K31" i="11" s="1"/>
  <c r="M38" i="9"/>
  <c r="B39" i="9"/>
  <c r="D39" i="9"/>
  <c r="E39" i="9" s="1"/>
  <c r="E40" i="7"/>
  <c r="B40" i="6"/>
  <c r="C40" i="6"/>
  <c r="F40" i="6" s="1"/>
  <c r="G38" i="5"/>
  <c r="A39" i="5" s="1"/>
  <c r="G37" i="4"/>
  <c r="A38" i="4" s="1"/>
  <c r="C38" i="4" s="1"/>
  <c r="S30" i="11" l="1"/>
  <c r="D31" i="11" s="1"/>
  <c r="M31" i="11" s="1"/>
  <c r="N31" i="11" s="1"/>
  <c r="O31" i="11" s="1"/>
  <c r="Q31" i="11" s="1"/>
  <c r="I39" i="9"/>
  <c r="J39" i="9" s="1"/>
  <c r="K39" i="9" s="1"/>
  <c r="L39" i="9" s="1"/>
  <c r="M39" i="9" s="1"/>
  <c r="G40" i="7"/>
  <c r="A41" i="7" s="1"/>
  <c r="E40" i="6"/>
  <c r="G40" i="6" s="1"/>
  <c r="A41" i="6" s="1"/>
  <c r="D39" i="5"/>
  <c r="C39" i="5"/>
  <c r="B39" i="5"/>
  <c r="D38" i="4"/>
  <c r="F38" i="4" s="1"/>
  <c r="B38" i="4"/>
  <c r="E38" i="4"/>
  <c r="B32" i="11" l="1"/>
  <c r="G32" i="11" s="1"/>
  <c r="R31" i="11"/>
  <c r="C32" i="11" s="1"/>
  <c r="J32" i="11" s="1"/>
  <c r="A40" i="9"/>
  <c r="B40" i="9" s="1"/>
  <c r="B41" i="7"/>
  <c r="D41" i="7"/>
  <c r="C41" i="7"/>
  <c r="D41" i="6"/>
  <c r="C41" i="6"/>
  <c r="B41" i="6"/>
  <c r="F39" i="5"/>
  <c r="E39" i="5"/>
  <c r="G38" i="4"/>
  <c r="A39" i="4" s="1"/>
  <c r="S31" i="11" l="1"/>
  <c r="D32" i="11" s="1"/>
  <c r="K32" i="11"/>
  <c r="D40" i="9"/>
  <c r="E40" i="9" s="1"/>
  <c r="I40" i="9" s="1"/>
  <c r="J40" i="9" s="1"/>
  <c r="K40" i="9" s="1"/>
  <c r="L40" i="9" s="1"/>
  <c r="F41" i="7"/>
  <c r="E41" i="7"/>
  <c r="G41" i="7" s="1"/>
  <c r="A42" i="7" s="1"/>
  <c r="F41" i="6"/>
  <c r="G39" i="5"/>
  <c r="A40" i="5" s="1"/>
  <c r="D40" i="5" s="1"/>
  <c r="E41" i="6"/>
  <c r="C40" i="5"/>
  <c r="B40" i="5"/>
  <c r="D39" i="4"/>
  <c r="B39" i="4"/>
  <c r="C39" i="4"/>
  <c r="M32" i="11" l="1"/>
  <c r="N32" i="11" s="1"/>
  <c r="A41" i="9"/>
  <c r="B41" i="9" s="1"/>
  <c r="M40" i="9"/>
  <c r="C42" i="7"/>
  <c r="B42" i="7"/>
  <c r="D42" i="7"/>
  <c r="G41" i="6"/>
  <c r="A42" i="6" s="1"/>
  <c r="B42" i="6" s="1"/>
  <c r="F39" i="4"/>
  <c r="E40" i="5"/>
  <c r="F40" i="5"/>
  <c r="E39" i="4"/>
  <c r="O32" i="11" l="1"/>
  <c r="Q32" i="11" s="1"/>
  <c r="B33" i="11" s="1"/>
  <c r="G33" i="11" s="1"/>
  <c r="D41" i="9"/>
  <c r="E41" i="9" s="1"/>
  <c r="I41" i="9" s="1"/>
  <c r="J41" i="9" s="1"/>
  <c r="K41" i="9" s="1"/>
  <c r="L41" i="9" s="1"/>
  <c r="M41" i="9" s="1"/>
  <c r="F42" i="7"/>
  <c r="E42" i="7"/>
  <c r="G42" i="7" s="1"/>
  <c r="A43" i="7" s="1"/>
  <c r="D42" i="6"/>
  <c r="C42" i="6"/>
  <c r="G40" i="5"/>
  <c r="A41" i="5" s="1"/>
  <c r="G39" i="4"/>
  <c r="A40" i="4" s="1"/>
  <c r="D40" i="4" s="1"/>
  <c r="R32" i="11" l="1"/>
  <c r="C33" i="11" s="1"/>
  <c r="J33" i="11" s="1"/>
  <c r="K33" i="11" s="1"/>
  <c r="A42" i="9"/>
  <c r="B42" i="9" s="1"/>
  <c r="D43" i="7"/>
  <c r="C43" i="7"/>
  <c r="F43" i="7" s="1"/>
  <c r="B43" i="7"/>
  <c r="F42" i="6"/>
  <c r="E42" i="6"/>
  <c r="B41" i="5"/>
  <c r="D41" i="5"/>
  <c r="C41" i="5"/>
  <c r="B40" i="4"/>
  <c r="C40" i="4"/>
  <c r="F40" i="4" s="1"/>
  <c r="S32" i="11" l="1"/>
  <c r="D33" i="11" s="1"/>
  <c r="M33" i="11" s="1"/>
  <c r="N33" i="11" s="1"/>
  <c r="O33" i="11" s="1"/>
  <c r="Q33" i="11" s="1"/>
  <c r="D42" i="9"/>
  <c r="E42" i="9" s="1"/>
  <c r="I42" i="9" s="1"/>
  <c r="J42" i="9" s="1"/>
  <c r="K42" i="9" s="1"/>
  <c r="L42" i="9" s="1"/>
  <c r="M42" i="9" s="1"/>
  <c r="E43" i="7"/>
  <c r="G42" i="6"/>
  <c r="A43" i="6" s="1"/>
  <c r="B43" i="6" s="1"/>
  <c r="E40" i="4"/>
  <c r="G40" i="4" s="1"/>
  <c r="A41" i="4" s="1"/>
  <c r="F41" i="5"/>
  <c r="E41" i="5"/>
  <c r="R33" i="11" l="1"/>
  <c r="C34" i="11" s="1"/>
  <c r="J34" i="11" s="1"/>
  <c r="B34" i="11"/>
  <c r="G34" i="11" s="1"/>
  <c r="A43" i="9"/>
  <c r="D43" i="9" s="1"/>
  <c r="E43" i="9" s="1"/>
  <c r="G41" i="5"/>
  <c r="A42" i="5" s="1"/>
  <c r="B42" i="5" s="1"/>
  <c r="G43" i="7"/>
  <c r="A44" i="7" s="1"/>
  <c r="C43" i="6"/>
  <c r="D43" i="6"/>
  <c r="D41" i="4"/>
  <c r="C41" i="4"/>
  <c r="B41" i="4"/>
  <c r="K34" i="11" l="1"/>
  <c r="S33" i="11"/>
  <c r="D34" i="11" s="1"/>
  <c r="B43" i="9"/>
  <c r="I43" i="9" s="1"/>
  <c r="J43" i="9" s="1"/>
  <c r="K43" i="9" s="1"/>
  <c r="L43" i="9" s="1"/>
  <c r="A44" i="9" s="1"/>
  <c r="C42" i="5"/>
  <c r="E42" i="5" s="1"/>
  <c r="D42" i="5"/>
  <c r="D44" i="7"/>
  <c r="B44" i="7"/>
  <c r="C44" i="7"/>
  <c r="F43" i="6"/>
  <c r="E43" i="6"/>
  <c r="G43" i="6" s="1"/>
  <c r="A44" i="6" s="1"/>
  <c r="F41" i="4"/>
  <c r="E41" i="4"/>
  <c r="M34" i="11" l="1"/>
  <c r="N34" i="11" s="1"/>
  <c r="O34" i="11" s="1"/>
  <c r="Q34" i="11" s="1"/>
  <c r="M43" i="9"/>
  <c r="D44" i="9"/>
  <c r="E44" i="9" s="1"/>
  <c r="B44" i="9"/>
  <c r="F42" i="5"/>
  <c r="G42" i="5" s="1"/>
  <c r="A43" i="5" s="1"/>
  <c r="F44" i="7"/>
  <c r="E44" i="7"/>
  <c r="C44" i="6"/>
  <c r="D44" i="6"/>
  <c r="B44" i="6"/>
  <c r="G41" i="4"/>
  <c r="A42" i="4" s="1"/>
  <c r="B35" i="11" l="1"/>
  <c r="G35" i="11" s="1"/>
  <c r="R34" i="11"/>
  <c r="C35" i="11" s="1"/>
  <c r="J35" i="11" s="1"/>
  <c r="I44" i="9"/>
  <c r="J44" i="9" s="1"/>
  <c r="K44" i="9" s="1"/>
  <c r="L44" i="9" s="1"/>
  <c r="A45" i="9" s="1"/>
  <c r="D43" i="5"/>
  <c r="C43" i="5"/>
  <c r="F43" i="5" s="1"/>
  <c r="B43" i="5"/>
  <c r="G44" i="7"/>
  <c r="A45" i="7" s="1"/>
  <c r="F44" i="6"/>
  <c r="E44" i="6"/>
  <c r="D42" i="4"/>
  <c r="C42" i="4"/>
  <c r="F42" i="4" s="1"/>
  <c r="B42" i="4"/>
  <c r="S34" i="11" l="1"/>
  <c r="D35" i="11" s="1"/>
  <c r="K35" i="11"/>
  <c r="M44" i="9"/>
  <c r="B45" i="9"/>
  <c r="D45" i="9"/>
  <c r="E45" i="9" s="1"/>
  <c r="E43" i="5"/>
  <c r="G43" i="5"/>
  <c r="A44" i="5" s="1"/>
  <c r="D44" i="5" s="1"/>
  <c r="B45" i="7"/>
  <c r="C45" i="7"/>
  <c r="D45" i="7"/>
  <c r="G44" i="6"/>
  <c r="A45" i="6" s="1"/>
  <c r="E42" i="4"/>
  <c r="M35" i="11" l="1"/>
  <c r="I45" i="9"/>
  <c r="J45" i="9" s="1"/>
  <c r="B44" i="5"/>
  <c r="C44" i="5"/>
  <c r="E44" i="5" s="1"/>
  <c r="F45" i="7"/>
  <c r="E45" i="7"/>
  <c r="D45" i="6"/>
  <c r="B45" i="6"/>
  <c r="C45" i="6"/>
  <c r="F45" i="6" s="1"/>
  <c r="G42" i="4"/>
  <c r="A43" i="4" s="1"/>
  <c r="C43" i="4" s="1"/>
  <c r="N35" i="11" l="1"/>
  <c r="O35" i="11" s="1"/>
  <c r="Q35" i="11" s="1"/>
  <c r="B36" i="11" s="1"/>
  <c r="G36" i="11" s="1"/>
  <c r="K45" i="9"/>
  <c r="L45" i="9" s="1"/>
  <c r="A46" i="9" s="1"/>
  <c r="F44" i="5"/>
  <c r="G44" i="5" s="1"/>
  <c r="A45" i="5" s="1"/>
  <c r="G45" i="7"/>
  <c r="A46" i="7" s="1"/>
  <c r="E45" i="6"/>
  <c r="D43" i="4"/>
  <c r="F43" i="4" s="1"/>
  <c r="B43" i="4"/>
  <c r="E43" i="4"/>
  <c r="R35" i="11" l="1"/>
  <c r="C36" i="11" s="1"/>
  <c r="J36" i="11" s="1"/>
  <c r="K36" i="11" s="1"/>
  <c r="M45" i="9"/>
  <c r="D46" i="9"/>
  <c r="E46" i="9" s="1"/>
  <c r="B46" i="9"/>
  <c r="C46" i="7"/>
  <c r="B46" i="7"/>
  <c r="D46" i="7"/>
  <c r="G45" i="6"/>
  <c r="A46" i="6" s="1"/>
  <c r="B45" i="5"/>
  <c r="D45" i="5"/>
  <c r="C45" i="5"/>
  <c r="G43" i="4"/>
  <c r="A44" i="4" s="1"/>
  <c r="B44" i="4" s="1"/>
  <c r="S35" i="11" l="1"/>
  <c r="D36" i="11" s="1"/>
  <c r="M36" i="11" s="1"/>
  <c r="N36" i="11" s="1"/>
  <c r="I46" i="9"/>
  <c r="J46" i="9" s="1"/>
  <c r="K46" i="9" s="1"/>
  <c r="L46" i="9" s="1"/>
  <c r="F46" i="7"/>
  <c r="E46" i="7"/>
  <c r="D46" i="6"/>
  <c r="C46" i="6"/>
  <c r="B46" i="6"/>
  <c r="F45" i="5"/>
  <c r="E45" i="5"/>
  <c r="C44" i="4"/>
  <c r="D44" i="4"/>
  <c r="O36" i="11" l="1"/>
  <c r="Q36" i="11" s="1"/>
  <c r="B37" i="11" s="1"/>
  <c r="G37" i="11" s="1"/>
  <c r="A47" i="9"/>
  <c r="M46" i="9"/>
  <c r="G46" i="7"/>
  <c r="A47" i="7" s="1"/>
  <c r="D47" i="7"/>
  <c r="C47" i="7"/>
  <c r="F47" i="7" s="1"/>
  <c r="B47" i="7"/>
  <c r="F46" i="6"/>
  <c r="G45" i="5"/>
  <c r="A46" i="5" s="1"/>
  <c r="C46" i="5" s="1"/>
  <c r="E46" i="6"/>
  <c r="F44" i="4"/>
  <c r="B46" i="5"/>
  <c r="D46" i="5"/>
  <c r="E44" i="4"/>
  <c r="R36" i="11" l="1"/>
  <c r="C37" i="11" s="1"/>
  <c r="J37" i="11" s="1"/>
  <c r="K37" i="11" s="1"/>
  <c r="B47" i="9"/>
  <c r="D47" i="9"/>
  <c r="E47" i="9" s="1"/>
  <c r="E47" i="7"/>
  <c r="G46" i="6"/>
  <c r="A47" i="6" s="1"/>
  <c r="G44" i="4"/>
  <c r="A45" i="4" s="1"/>
  <c r="C45" i="4" s="1"/>
  <c r="E45" i="4" s="1"/>
  <c r="F46" i="5"/>
  <c r="E46" i="5"/>
  <c r="S36" i="11" l="1"/>
  <c r="D37" i="11" s="1"/>
  <c r="M37" i="11" s="1"/>
  <c r="I47" i="9"/>
  <c r="J47" i="9" s="1"/>
  <c r="G47" i="7"/>
  <c r="A48" i="7" s="1"/>
  <c r="B47" i="6"/>
  <c r="D47" i="6"/>
  <c r="C47" i="6"/>
  <c r="B45" i="4"/>
  <c r="D45" i="4"/>
  <c r="F45" i="4" s="1"/>
  <c r="G45" i="4" s="1"/>
  <c r="A46" i="4" s="1"/>
  <c r="C46" i="4" s="1"/>
  <c r="G46" i="5"/>
  <c r="A47" i="5" s="1"/>
  <c r="N37" i="11" l="1"/>
  <c r="K47" i="9"/>
  <c r="L47" i="9" s="1"/>
  <c r="A48" i="9" s="1"/>
  <c r="D48" i="7"/>
  <c r="B48" i="7"/>
  <c r="C48" i="7"/>
  <c r="F47" i="6"/>
  <c r="E47" i="6"/>
  <c r="D47" i="5"/>
  <c r="C47" i="5"/>
  <c r="B47" i="5"/>
  <c r="D46" i="4"/>
  <c r="F46" i="4" s="1"/>
  <c r="B46" i="4"/>
  <c r="E46" i="4"/>
  <c r="O37" i="11" l="1"/>
  <c r="Q37" i="11" s="1"/>
  <c r="B38" i="11" s="1"/>
  <c r="G38" i="11" s="1"/>
  <c r="M47" i="9"/>
  <c r="D48" i="9"/>
  <c r="E48" i="9" s="1"/>
  <c r="B48" i="9"/>
  <c r="F48" i="7"/>
  <c r="E48" i="7"/>
  <c r="G47" i="6"/>
  <c r="A48" i="6" s="1"/>
  <c r="F47" i="5"/>
  <c r="E47" i="5"/>
  <c r="G46" i="4"/>
  <c r="A47" i="4" s="1"/>
  <c r="D47" i="4" s="1"/>
  <c r="R37" i="11" l="1"/>
  <c r="C38" i="11" s="1"/>
  <c r="J38" i="11" s="1"/>
  <c r="K38" i="11" s="1"/>
  <c r="I48" i="9"/>
  <c r="J48" i="9" s="1"/>
  <c r="K48" i="9" s="1"/>
  <c r="L48" i="9" s="1"/>
  <c r="A49" i="9" s="1"/>
  <c r="G48" i="7"/>
  <c r="A49" i="7" s="1"/>
  <c r="C48" i="6"/>
  <c r="B48" i="6"/>
  <c r="D48" i="6"/>
  <c r="G47" i="5"/>
  <c r="A48" i="5" s="1"/>
  <c r="C47" i="4"/>
  <c r="F47" i="4" s="1"/>
  <c r="B47" i="4"/>
  <c r="S37" i="11" l="1"/>
  <c r="D38" i="11" s="1"/>
  <c r="M38" i="11" s="1"/>
  <c r="N38" i="11" s="1"/>
  <c r="O38" i="11" s="1"/>
  <c r="Q38" i="11" s="1"/>
  <c r="B39" i="11" s="1"/>
  <c r="G39" i="11" s="1"/>
  <c r="M48" i="9"/>
  <c r="B49" i="9"/>
  <c r="D49" i="9"/>
  <c r="E49" i="9" s="1"/>
  <c r="B49" i="7"/>
  <c r="C49" i="7"/>
  <c r="D49" i="7"/>
  <c r="F48" i="6"/>
  <c r="E48" i="6"/>
  <c r="E47" i="4"/>
  <c r="G47" i="4" s="1"/>
  <c r="A48" i="4" s="1"/>
  <c r="D48" i="5"/>
  <c r="C48" i="5"/>
  <c r="B48" i="5"/>
  <c r="R38" i="11" l="1"/>
  <c r="C39" i="11" s="1"/>
  <c r="J39" i="11" s="1"/>
  <c r="K39" i="11" s="1"/>
  <c r="I49" i="9"/>
  <c r="J49" i="9" s="1"/>
  <c r="K49" i="9" s="1"/>
  <c r="L49" i="9" s="1"/>
  <c r="A50" i="9" s="1"/>
  <c r="F49" i="7"/>
  <c r="E49" i="7"/>
  <c r="G48" i="6"/>
  <c r="A49" i="6" s="1"/>
  <c r="E48" i="5"/>
  <c r="F48" i="5"/>
  <c r="B48" i="4"/>
  <c r="D48" i="4"/>
  <c r="C48" i="4"/>
  <c r="S38" i="11" l="1"/>
  <c r="D39" i="11" s="1"/>
  <c r="M39" i="11" s="1"/>
  <c r="N39" i="11" s="1"/>
  <c r="M49" i="9"/>
  <c r="B50" i="9"/>
  <c r="D50" i="9"/>
  <c r="E50" i="9" s="1"/>
  <c r="G49" i="7"/>
  <c r="A50" i="7" s="1"/>
  <c r="D49" i="6"/>
  <c r="B49" i="6"/>
  <c r="C49" i="6"/>
  <c r="F49" i="6" s="1"/>
  <c r="F48" i="4"/>
  <c r="G48" i="5"/>
  <c r="A49" i="5" s="1"/>
  <c r="E48" i="4"/>
  <c r="O39" i="11" l="1"/>
  <c r="Q39" i="11" s="1"/>
  <c r="I50" i="9"/>
  <c r="J50" i="9" s="1"/>
  <c r="K50" i="9" s="1"/>
  <c r="L50" i="9" s="1"/>
  <c r="M50" i="9" s="1"/>
  <c r="C50" i="7"/>
  <c r="B50" i="7"/>
  <c r="D50" i="7"/>
  <c r="E49" i="6"/>
  <c r="B49" i="5"/>
  <c r="D49" i="5"/>
  <c r="C49" i="5"/>
  <c r="G48" i="4"/>
  <c r="A49" i="4" s="1"/>
  <c r="B40" i="11" l="1"/>
  <c r="G40" i="11" s="1"/>
  <c r="R39" i="11"/>
  <c r="C40" i="11" s="1"/>
  <c r="J40" i="11" s="1"/>
  <c r="A51" i="9"/>
  <c r="D51" i="9" s="1"/>
  <c r="E51" i="9" s="1"/>
  <c r="F50" i="7"/>
  <c r="E50" i="7"/>
  <c r="G50" i="7" s="1"/>
  <c r="A51" i="7" s="1"/>
  <c r="G49" i="6"/>
  <c r="A50" i="6" s="1"/>
  <c r="F49" i="5"/>
  <c r="E49" i="5"/>
  <c r="B49" i="4"/>
  <c r="D49" i="4"/>
  <c r="C49" i="4"/>
  <c r="K40" i="11" l="1"/>
  <c r="S39" i="11"/>
  <c r="D40" i="11" s="1"/>
  <c r="B51" i="9"/>
  <c r="I51" i="9" s="1"/>
  <c r="J51" i="9" s="1"/>
  <c r="K51" i="9" s="1"/>
  <c r="L51" i="9" s="1"/>
  <c r="A52" i="9" s="1"/>
  <c r="G49" i="5"/>
  <c r="A50" i="5" s="1"/>
  <c r="B50" i="5" s="1"/>
  <c r="D51" i="7"/>
  <c r="C51" i="7"/>
  <c r="B51" i="7"/>
  <c r="D50" i="6"/>
  <c r="C50" i="6"/>
  <c r="B50" i="6"/>
  <c r="F49" i="4"/>
  <c r="C50" i="5"/>
  <c r="E49" i="4"/>
  <c r="M40" i="11" l="1"/>
  <c r="M51" i="9"/>
  <c r="B52" i="9"/>
  <c r="D52" i="9"/>
  <c r="E52" i="9" s="1"/>
  <c r="D50" i="5"/>
  <c r="F50" i="5" s="1"/>
  <c r="F51" i="7"/>
  <c r="E51" i="7"/>
  <c r="F50" i="6"/>
  <c r="E50" i="6"/>
  <c r="E50" i="5"/>
  <c r="G49" i="4"/>
  <c r="A50" i="4" s="1"/>
  <c r="D50" i="4" s="1"/>
  <c r="N40" i="11" l="1"/>
  <c r="I52" i="9"/>
  <c r="J52" i="9" s="1"/>
  <c r="K52" i="9" s="1"/>
  <c r="L52" i="9" s="1"/>
  <c r="M52" i="9" s="1"/>
  <c r="G50" i="5"/>
  <c r="A51" i="5" s="1"/>
  <c r="B51" i="5" s="1"/>
  <c r="G51" i="7"/>
  <c r="A52" i="7" s="1"/>
  <c r="G50" i="6"/>
  <c r="A51" i="6" s="1"/>
  <c r="C51" i="6" s="1"/>
  <c r="C50" i="4"/>
  <c r="F50" i="4" s="1"/>
  <c r="B50" i="4"/>
  <c r="O40" i="11" l="1"/>
  <c r="Q40" i="11" s="1"/>
  <c r="A53" i="9"/>
  <c r="D53" i="9" s="1"/>
  <c r="E53" i="9" s="1"/>
  <c r="D51" i="5"/>
  <c r="C51" i="5"/>
  <c r="F51" i="5" s="1"/>
  <c r="D52" i="7"/>
  <c r="B52" i="7"/>
  <c r="C52" i="7"/>
  <c r="B51" i="6"/>
  <c r="D51" i="6"/>
  <c r="F51" i="6" s="1"/>
  <c r="E51" i="6"/>
  <c r="E50" i="4"/>
  <c r="G50" i="4" s="1"/>
  <c r="A51" i="4" s="1"/>
  <c r="D51" i="4" s="1"/>
  <c r="R40" i="11" l="1"/>
  <c r="C41" i="11" s="1"/>
  <c r="J41" i="11" s="1"/>
  <c r="B41" i="11"/>
  <c r="G41" i="11" s="1"/>
  <c r="B53" i="9"/>
  <c r="I53" i="9" s="1"/>
  <c r="E51" i="5"/>
  <c r="G51" i="5"/>
  <c r="A52" i="5" s="1"/>
  <c r="C52" i="5" s="1"/>
  <c r="F52" i="7"/>
  <c r="E52" i="7"/>
  <c r="G51" i="6"/>
  <c r="A52" i="6" s="1"/>
  <c r="B52" i="6" s="1"/>
  <c r="D52" i="5"/>
  <c r="B52" i="5"/>
  <c r="B51" i="4"/>
  <c r="C51" i="4"/>
  <c r="F51" i="4" s="1"/>
  <c r="S40" i="11" l="1"/>
  <c r="D41" i="11" s="1"/>
  <c r="K41" i="11"/>
  <c r="J53" i="9"/>
  <c r="K53" i="9" s="1"/>
  <c r="L53" i="9" s="1"/>
  <c r="G52" i="7"/>
  <c r="A53" i="7" s="1"/>
  <c r="C52" i="6"/>
  <c r="E52" i="6" s="1"/>
  <c r="D52" i="6"/>
  <c r="E52" i="5"/>
  <c r="F52" i="5"/>
  <c r="E51" i="4"/>
  <c r="G51" i="4"/>
  <c r="A52" i="4" s="1"/>
  <c r="M41" i="11" l="1"/>
  <c r="N41" i="11" s="1"/>
  <c r="A54" i="9"/>
  <c r="M53" i="9"/>
  <c r="B53" i="7"/>
  <c r="C53" i="7"/>
  <c r="D53" i="7"/>
  <c r="F52" i="6"/>
  <c r="G52" i="6" s="1"/>
  <c r="A53" i="6" s="1"/>
  <c r="G52" i="5"/>
  <c r="A53" i="5" s="1"/>
  <c r="D52" i="4"/>
  <c r="B52" i="4"/>
  <c r="C52" i="4"/>
  <c r="F52" i="4" s="1"/>
  <c r="O41" i="11" l="1"/>
  <c r="Q41" i="11" s="1"/>
  <c r="B42" i="11" s="1"/>
  <c r="G42" i="11" s="1"/>
  <c r="D54" i="9"/>
  <c r="E54" i="9" s="1"/>
  <c r="B54" i="9"/>
  <c r="F53" i="7"/>
  <c r="E53" i="7"/>
  <c r="G53" i="7" s="1"/>
  <c r="A54" i="7" s="1"/>
  <c r="D53" i="6"/>
  <c r="C53" i="6"/>
  <c r="B53" i="6"/>
  <c r="B53" i="5"/>
  <c r="D53" i="5"/>
  <c r="C53" i="5"/>
  <c r="E52" i="4"/>
  <c r="R41" i="11" l="1"/>
  <c r="C42" i="11" s="1"/>
  <c r="J42" i="11" s="1"/>
  <c r="K42" i="11" s="1"/>
  <c r="I54" i="9"/>
  <c r="C54" i="7"/>
  <c r="B54" i="7"/>
  <c r="D54" i="7"/>
  <c r="F53" i="6"/>
  <c r="E53" i="6"/>
  <c r="F53" i="5"/>
  <c r="E53" i="5"/>
  <c r="G53" i="5" s="1"/>
  <c r="A54" i="5" s="1"/>
  <c r="G52" i="4"/>
  <c r="A53" i="4" s="1"/>
  <c r="B53" i="4" s="1"/>
  <c r="S41" i="11" l="1"/>
  <c r="D42" i="11" s="1"/>
  <c r="M42" i="11" s="1"/>
  <c r="N42" i="11" s="1"/>
  <c r="J54" i="9"/>
  <c r="K54" i="9" s="1"/>
  <c r="L54" i="9" s="1"/>
  <c r="F54" i="7"/>
  <c r="E54" i="7"/>
  <c r="G54" i="7" s="1"/>
  <c r="A55" i="7" s="1"/>
  <c r="G53" i="6"/>
  <c r="A54" i="6" s="1"/>
  <c r="C54" i="5"/>
  <c r="B54" i="5"/>
  <c r="D54" i="5"/>
  <c r="C53" i="4"/>
  <c r="D53" i="4"/>
  <c r="O42" i="11" l="1"/>
  <c r="Q42" i="11" s="1"/>
  <c r="B43" i="11" s="1"/>
  <c r="G43" i="11" s="1"/>
  <c r="A55" i="9"/>
  <c r="M54" i="9"/>
  <c r="D55" i="7"/>
  <c r="C55" i="7"/>
  <c r="F55" i="7" s="1"/>
  <c r="B55" i="7"/>
  <c r="C54" i="6"/>
  <c r="B54" i="6"/>
  <c r="D54" i="6"/>
  <c r="F53" i="4"/>
  <c r="E53" i="4"/>
  <c r="G53" i="4" s="1"/>
  <c r="A54" i="4" s="1"/>
  <c r="F54" i="5"/>
  <c r="E54" i="5"/>
  <c r="R42" i="11" l="1"/>
  <c r="C43" i="11" s="1"/>
  <c r="J43" i="11" s="1"/>
  <c r="K43" i="11" s="1"/>
  <c r="B55" i="9"/>
  <c r="D55" i="9"/>
  <c r="E55" i="9" s="1"/>
  <c r="E55" i="7"/>
  <c r="F54" i="6"/>
  <c r="E54" i="6"/>
  <c r="G54" i="5"/>
  <c r="A55" i="5" s="1"/>
  <c r="C54" i="4"/>
  <c r="D54" i="4"/>
  <c r="B54" i="4"/>
  <c r="S42" i="11" l="1"/>
  <c r="D43" i="11" s="1"/>
  <c r="M43" i="11" s="1"/>
  <c r="N43" i="11" s="1"/>
  <c r="I55" i="9"/>
  <c r="J55" i="9" s="1"/>
  <c r="K55" i="9" s="1"/>
  <c r="L55" i="9" s="1"/>
  <c r="A56" i="9" s="1"/>
  <c r="G55" i="7"/>
  <c r="A56" i="7" s="1"/>
  <c r="G54" i="6"/>
  <c r="A55" i="6" s="1"/>
  <c r="F54" i="4"/>
  <c r="D55" i="5"/>
  <c r="C55" i="5"/>
  <c r="B55" i="5"/>
  <c r="E54" i="4"/>
  <c r="O43" i="11" l="1"/>
  <c r="Q43" i="11" s="1"/>
  <c r="B44" i="11" s="1"/>
  <c r="G44" i="11" s="1"/>
  <c r="M55" i="9"/>
  <c r="B56" i="9"/>
  <c r="D56" i="9"/>
  <c r="E56" i="9" s="1"/>
  <c r="D56" i="7"/>
  <c r="B56" i="7"/>
  <c r="C56" i="7"/>
  <c r="B55" i="6"/>
  <c r="C55" i="6"/>
  <c r="D55" i="6"/>
  <c r="F55" i="5"/>
  <c r="E55" i="5"/>
  <c r="G54" i="4"/>
  <c r="A55" i="4" s="1"/>
  <c r="R43" i="11" l="1"/>
  <c r="I56" i="9"/>
  <c r="F56" i="7"/>
  <c r="E56" i="7"/>
  <c r="F55" i="6"/>
  <c r="E55" i="6"/>
  <c r="G55" i="5"/>
  <c r="A56" i="5" s="1"/>
  <c r="D55" i="4"/>
  <c r="C55" i="4"/>
  <c r="B55" i="4"/>
  <c r="C44" i="11" l="1"/>
  <c r="J44" i="11" s="1"/>
  <c r="K44" i="11" s="1"/>
  <c r="S43" i="11"/>
  <c r="D44" i="11" s="1"/>
  <c r="J56" i="9"/>
  <c r="K56" i="9" s="1"/>
  <c r="L56" i="9" s="1"/>
  <c r="G56" i="7"/>
  <c r="A57" i="7" s="1"/>
  <c r="G55" i="6"/>
  <c r="A56" i="6" s="1"/>
  <c r="F55" i="4"/>
  <c r="D56" i="5"/>
  <c r="C56" i="5"/>
  <c r="B56" i="5"/>
  <c r="E55" i="4"/>
  <c r="M44" i="11" l="1"/>
  <c r="A57" i="9"/>
  <c r="M56" i="9"/>
  <c r="B57" i="7"/>
  <c r="C57" i="7"/>
  <c r="D57" i="7"/>
  <c r="C56" i="6"/>
  <c r="D56" i="6"/>
  <c r="B56" i="6"/>
  <c r="E56" i="5"/>
  <c r="F56" i="5"/>
  <c r="G55" i="4"/>
  <c r="A56" i="4" s="1"/>
  <c r="B56" i="4" s="1"/>
  <c r="N44" i="11" l="1"/>
  <c r="O44" i="11" s="1"/>
  <c r="Q44" i="11" s="1"/>
  <c r="B57" i="9"/>
  <c r="D57" i="9"/>
  <c r="E57" i="9" s="1"/>
  <c r="F57" i="7"/>
  <c r="E57" i="7"/>
  <c r="F56" i="6"/>
  <c r="E56" i="6"/>
  <c r="G56" i="5"/>
  <c r="A57" i="5" s="1"/>
  <c r="D56" i="4"/>
  <c r="C56" i="4"/>
  <c r="B45" i="11" l="1"/>
  <c r="G45" i="11" s="1"/>
  <c r="R44" i="11"/>
  <c r="C45" i="11" s="1"/>
  <c r="J45" i="11" s="1"/>
  <c r="I57" i="9"/>
  <c r="J57" i="9" s="1"/>
  <c r="K57" i="9" s="1"/>
  <c r="L57" i="9" s="1"/>
  <c r="G57" i="7"/>
  <c r="A58" i="7" s="1"/>
  <c r="G56" i="6"/>
  <c r="A57" i="6" s="1"/>
  <c r="D57" i="6" s="1"/>
  <c r="F56" i="4"/>
  <c r="B57" i="5"/>
  <c r="D57" i="5"/>
  <c r="C57" i="5"/>
  <c r="E56" i="4"/>
  <c r="S44" i="11" l="1"/>
  <c r="D45" i="11" s="1"/>
  <c r="K45" i="11"/>
  <c r="A58" i="9"/>
  <c r="M57" i="9"/>
  <c r="C58" i="7"/>
  <c r="B58" i="7"/>
  <c r="D58" i="7"/>
  <c r="B57" i="6"/>
  <c r="C57" i="6"/>
  <c r="F57" i="6" s="1"/>
  <c r="G56" i="4"/>
  <c r="A57" i="4" s="1"/>
  <c r="F57" i="5"/>
  <c r="E57" i="5"/>
  <c r="C57" i="4"/>
  <c r="D57" i="4"/>
  <c r="B57" i="4"/>
  <c r="M45" i="11" l="1"/>
  <c r="N45" i="11" s="1"/>
  <c r="B58" i="9"/>
  <c r="D58" i="9"/>
  <c r="E58" i="9" s="1"/>
  <c r="F58" i="7"/>
  <c r="E58" i="7"/>
  <c r="G58" i="7" s="1"/>
  <c r="E57" i="6"/>
  <c r="G57" i="6" s="1"/>
  <c r="A58" i="6" s="1"/>
  <c r="F57" i="4"/>
  <c r="G57" i="5"/>
  <c r="A58" i="5" s="1"/>
  <c r="E57" i="4"/>
  <c r="O45" i="11" l="1"/>
  <c r="Q45" i="11" s="1"/>
  <c r="B46" i="11" s="1"/>
  <c r="G46" i="11" s="1"/>
  <c r="I58" i="9"/>
  <c r="J58" i="9" s="1"/>
  <c r="K58" i="9" s="1"/>
  <c r="L58" i="9" s="1"/>
  <c r="B58" i="6"/>
  <c r="D58" i="6"/>
  <c r="C58" i="6"/>
  <c r="C58" i="5"/>
  <c r="B58" i="5"/>
  <c r="D58" i="5"/>
  <c r="G57" i="4"/>
  <c r="A58" i="4" s="1"/>
  <c r="C58" i="4" s="1"/>
  <c r="R45" i="11" l="1"/>
  <c r="A59" i="9"/>
  <c r="M58" i="9"/>
  <c r="F58" i="6"/>
  <c r="E58" i="6"/>
  <c r="F58" i="5"/>
  <c r="E58" i="5"/>
  <c r="B58" i="4"/>
  <c r="D58" i="4"/>
  <c r="F58" i="4" s="1"/>
  <c r="E58" i="4"/>
  <c r="C46" i="11" l="1"/>
  <c r="J46" i="11" s="1"/>
  <c r="K46" i="11" s="1"/>
  <c r="S45" i="11"/>
  <c r="D46" i="11" s="1"/>
  <c r="B59" i="9"/>
  <c r="D59" i="9"/>
  <c r="E59" i="9" s="1"/>
  <c r="G58" i="6"/>
  <c r="G58" i="5"/>
  <c r="G58" i="4"/>
  <c r="M46" i="11" l="1"/>
  <c r="I59" i="9"/>
  <c r="J59" i="9" s="1"/>
  <c r="N46" i="11" l="1"/>
  <c r="O46" i="11" s="1"/>
  <c r="Q46" i="11" s="1"/>
  <c r="B47" i="11" s="1"/>
  <c r="G47" i="11" s="1"/>
  <c r="K59" i="9"/>
  <c r="L59" i="9" s="1"/>
  <c r="A60" i="9" s="1"/>
  <c r="R46" i="11" l="1"/>
  <c r="M59" i="9"/>
  <c r="B60" i="9"/>
  <c r="D60" i="9"/>
  <c r="E60" i="9" s="1"/>
  <c r="C47" i="11" l="1"/>
  <c r="J47" i="11" s="1"/>
  <c r="K47" i="11" s="1"/>
  <c r="S46" i="11"/>
  <c r="D47" i="11" s="1"/>
  <c r="I60" i="9"/>
  <c r="J60" i="9" s="1"/>
  <c r="K60" i="9" s="1"/>
  <c r="L60" i="9" s="1"/>
  <c r="M47" i="11" l="1"/>
  <c r="N47" i="11" s="1"/>
  <c r="A61" i="9"/>
  <c r="M60" i="9"/>
  <c r="O47" i="11" l="1"/>
  <c r="Q47" i="11" s="1"/>
  <c r="B48" i="11" s="1"/>
  <c r="G48" i="11" s="1"/>
  <c r="D61" i="9"/>
  <c r="E61" i="9" s="1"/>
  <c r="B61" i="9"/>
  <c r="R47" i="11" l="1"/>
  <c r="C48" i="11" s="1"/>
  <c r="J48" i="11" s="1"/>
  <c r="K48" i="11" s="1"/>
  <c r="I61" i="9"/>
  <c r="J61" i="9" s="1"/>
  <c r="K61" i="9" s="1"/>
  <c r="L61" i="9" s="1"/>
  <c r="S47" i="11" l="1"/>
  <c r="D48" i="11" s="1"/>
  <c r="M48" i="11" s="1"/>
  <c r="N48" i="11" s="1"/>
  <c r="A62" i="9"/>
  <c r="M61" i="9"/>
  <c r="O48" i="11" l="1"/>
  <c r="Q48" i="11" s="1"/>
  <c r="B49" i="11" s="1"/>
  <c r="G49" i="11" s="1"/>
  <c r="B62" i="9"/>
  <c r="D62" i="9"/>
  <c r="E62" i="9" s="1"/>
  <c r="R48" i="11" l="1"/>
  <c r="C49" i="11" s="1"/>
  <c r="J49" i="11" s="1"/>
  <c r="K49" i="11" s="1"/>
  <c r="I62" i="9"/>
  <c r="S48" i="11" l="1"/>
  <c r="D49" i="11" s="1"/>
  <c r="M49" i="11" s="1"/>
  <c r="N49" i="11" s="1"/>
  <c r="O49" i="11" s="1"/>
  <c r="Q49" i="11" s="1"/>
  <c r="J62" i="9"/>
  <c r="K62" i="9" s="1"/>
  <c r="L62" i="9" s="1"/>
  <c r="B50" i="11" l="1"/>
  <c r="G50" i="11" s="1"/>
  <c r="R49" i="11"/>
  <c r="C50" i="11" s="1"/>
  <c r="J50" i="11" s="1"/>
  <c r="M62" i="9"/>
  <c r="A63" i="9"/>
  <c r="D63" i="9" s="1"/>
  <c r="E63" i="9" s="1"/>
  <c r="K50" i="11" l="1"/>
  <c r="S49" i="11"/>
  <c r="D50" i="11" s="1"/>
  <c r="B63" i="9"/>
  <c r="I63" i="9" s="1"/>
  <c r="J63" i="9" s="1"/>
  <c r="K63" i="9" s="1"/>
  <c r="L63" i="9" s="1"/>
  <c r="M50" i="11" l="1"/>
  <c r="N50" i="11" s="1"/>
  <c r="A64" i="9"/>
  <c r="M63" i="9"/>
  <c r="O50" i="11" l="1"/>
  <c r="Q50" i="11" s="1"/>
  <c r="B51" i="11" s="1"/>
  <c r="G51" i="11" s="1"/>
  <c r="D64" i="9"/>
  <c r="E64" i="9" s="1"/>
  <c r="B64" i="9"/>
  <c r="R50" i="11" l="1"/>
  <c r="C51" i="11" s="1"/>
  <c r="J51" i="11" s="1"/>
  <c r="K51" i="11" s="1"/>
  <c r="I64" i="9"/>
  <c r="J64" i="9" s="1"/>
  <c r="K64" i="9" s="1"/>
  <c r="L64" i="9" s="1"/>
  <c r="S50" i="11" l="1"/>
  <c r="D51" i="11" s="1"/>
  <c r="M51" i="11" s="1"/>
  <c r="N51" i="11" s="1"/>
  <c r="A65" i="9"/>
  <c r="M64" i="9"/>
  <c r="O51" i="11" l="1"/>
  <c r="Q51" i="11" s="1"/>
  <c r="B52" i="11" s="1"/>
  <c r="G52" i="11" s="1"/>
  <c r="B65" i="9"/>
  <c r="D65" i="9"/>
  <c r="E65" i="9" s="1"/>
  <c r="R51" i="11" l="1"/>
  <c r="C52" i="11" s="1"/>
  <c r="J52" i="11" s="1"/>
  <c r="K52" i="11" s="1"/>
  <c r="I65" i="9"/>
  <c r="J65" i="9" s="1"/>
  <c r="K65" i="9" s="1"/>
  <c r="L65" i="9" s="1"/>
  <c r="A66" i="9" s="1"/>
  <c r="S51" i="11" l="1"/>
  <c r="D52" i="11" s="1"/>
  <c r="M52" i="11" s="1"/>
  <c r="N52" i="11" s="1"/>
  <c r="O52" i="11" s="1"/>
  <c r="Q52" i="11" s="1"/>
  <c r="M65" i="9"/>
  <c r="D66" i="9"/>
  <c r="E66" i="9" s="1"/>
  <c r="B66" i="9"/>
  <c r="B53" i="11" l="1"/>
  <c r="G53" i="11" s="1"/>
  <c r="R52" i="11"/>
  <c r="C53" i="11" s="1"/>
  <c r="J53" i="11" s="1"/>
  <c r="I66" i="9"/>
  <c r="J66" i="9" s="1"/>
  <c r="K66" i="9" s="1"/>
  <c r="L66" i="9" s="1"/>
  <c r="A67" i="9" s="1"/>
  <c r="S52" i="11" l="1"/>
  <c r="D53" i="11" s="1"/>
  <c r="K53" i="11"/>
  <c r="M66" i="9"/>
  <c r="B67" i="9"/>
  <c r="D67" i="9"/>
  <c r="E67" i="9" s="1"/>
  <c r="M53" i="11" l="1"/>
  <c r="I67" i="9"/>
  <c r="J67" i="9" s="1"/>
  <c r="K67" i="9" s="1"/>
  <c r="L67" i="9" s="1"/>
  <c r="M67" i="9" s="1"/>
  <c r="N53" i="11" l="1"/>
  <c r="A68" i="9"/>
  <c r="D68" i="9" s="1"/>
  <c r="E68" i="9" s="1"/>
  <c r="O53" i="11" l="1"/>
  <c r="Q53" i="11" s="1"/>
  <c r="B68" i="9"/>
  <c r="I68" i="9" s="1"/>
  <c r="J68" i="9" s="1"/>
  <c r="K68" i="9" s="1"/>
  <c r="L68" i="9" s="1"/>
  <c r="R53" i="11" l="1"/>
  <c r="C54" i="11" s="1"/>
  <c r="J54" i="11" s="1"/>
  <c r="B54" i="11"/>
  <c r="G54" i="11" s="1"/>
  <c r="A69" i="9"/>
  <c r="M68" i="9"/>
  <c r="K54" i="11" l="1"/>
  <c r="S53" i="11"/>
  <c r="D54" i="11" s="1"/>
  <c r="B69" i="9"/>
  <c r="D69" i="9"/>
  <c r="E69" i="9" s="1"/>
  <c r="M54" i="11" l="1"/>
  <c r="N54" i="11" s="1"/>
  <c r="I69" i="9"/>
  <c r="O54" i="11" l="1"/>
  <c r="Q54" i="11" s="1"/>
  <c r="B55" i="11" s="1"/>
  <c r="G55" i="11" s="1"/>
  <c r="J69" i="9"/>
  <c r="K69" i="9" s="1"/>
  <c r="L69" i="9" s="1"/>
  <c r="R54" i="11" l="1"/>
  <c r="C55" i="11" s="1"/>
  <c r="J55" i="11" s="1"/>
  <c r="K55" i="11" s="1"/>
  <c r="A70" i="9"/>
  <c r="M69" i="9"/>
  <c r="S54" i="11" l="1"/>
  <c r="D55" i="11" s="1"/>
  <c r="M55" i="11" s="1"/>
  <c r="N55" i="11" s="1"/>
  <c r="O55" i="11" s="1"/>
  <c r="Q55" i="11" s="1"/>
  <c r="B70" i="9"/>
  <c r="D70" i="9"/>
  <c r="E70" i="9" s="1"/>
  <c r="R55" i="11" l="1"/>
  <c r="C56" i="11" s="1"/>
  <c r="J56" i="11" s="1"/>
  <c r="B56" i="11"/>
  <c r="G56" i="11" s="1"/>
  <c r="I70" i="9"/>
  <c r="J70" i="9" s="1"/>
  <c r="K70" i="9" s="1"/>
  <c r="L70" i="9" s="1"/>
  <c r="S55" i="11" l="1"/>
  <c r="D56" i="11" s="1"/>
  <c r="K56" i="11"/>
  <c r="A71" i="9"/>
  <c r="M70" i="9"/>
  <c r="M56" i="11" l="1"/>
  <c r="N56" i="11" s="1"/>
  <c r="B71" i="9"/>
  <c r="D71" i="9"/>
  <c r="E71" i="9" s="1"/>
  <c r="O56" i="11" l="1"/>
  <c r="Q56" i="11" s="1"/>
  <c r="B57" i="11" s="1"/>
  <c r="G57" i="11" s="1"/>
  <c r="I71" i="9"/>
  <c r="J71" i="9" s="1"/>
  <c r="K71" i="9" s="1"/>
  <c r="L71" i="9" s="1"/>
  <c r="A72" i="9" s="1"/>
  <c r="R56" i="11" l="1"/>
  <c r="C57" i="11" s="1"/>
  <c r="J57" i="11" s="1"/>
  <c r="K57" i="11" s="1"/>
  <c r="M71" i="9"/>
  <c r="B72" i="9"/>
  <c r="D72" i="9"/>
  <c r="E72" i="9" s="1"/>
  <c r="S56" i="11" l="1"/>
  <c r="D57" i="11" s="1"/>
  <c r="M57" i="11" s="1"/>
  <c r="I72" i="9"/>
  <c r="J72" i="9" s="1"/>
  <c r="K72" i="9" s="1"/>
  <c r="L72" i="9" s="1"/>
  <c r="N57" i="11" l="1"/>
  <c r="A73" i="9"/>
  <c r="M72" i="9"/>
  <c r="O57" i="11" l="1"/>
  <c r="Q57" i="11" s="1"/>
  <c r="B73" i="9"/>
  <c r="D73" i="9"/>
  <c r="E73" i="9" s="1"/>
  <c r="R57" i="11" l="1"/>
  <c r="C58" i="11" s="1"/>
  <c r="J58" i="11" s="1"/>
  <c r="B58" i="11"/>
  <c r="G58" i="11" s="1"/>
  <c r="I73" i="9"/>
  <c r="J73" i="9" s="1"/>
  <c r="K73" i="9" s="1"/>
  <c r="L73" i="9" s="1"/>
  <c r="S57" i="11" l="1"/>
  <c r="D58" i="11" s="1"/>
  <c r="K58" i="11"/>
  <c r="A74" i="9"/>
  <c r="M73" i="9"/>
  <c r="M58" i="11" l="1"/>
  <c r="N58" i="11" s="1"/>
  <c r="B74" i="9"/>
  <c r="D74" i="9"/>
  <c r="E74" i="9" s="1"/>
  <c r="O58" i="11" l="1"/>
  <c r="Q58" i="11" s="1"/>
  <c r="I74" i="9"/>
  <c r="B59" i="11" l="1"/>
  <c r="G59" i="11" s="1"/>
  <c r="R58" i="11"/>
  <c r="C59" i="11" s="1"/>
  <c r="J59" i="11" s="1"/>
  <c r="J74" i="9"/>
  <c r="K74" i="9" s="1"/>
  <c r="L74" i="9" s="1"/>
  <c r="K59" i="11" l="1"/>
  <c r="S58" i="11"/>
  <c r="D59" i="11" s="1"/>
  <c r="A75" i="9"/>
  <c r="M74" i="9"/>
  <c r="M59" i="11" l="1"/>
  <c r="D75" i="9"/>
  <c r="E75" i="9" s="1"/>
  <c r="B75" i="9"/>
  <c r="N59" i="11" l="1"/>
  <c r="I75" i="9"/>
  <c r="J75" i="9" s="1"/>
  <c r="K75" i="9" s="1"/>
  <c r="L75" i="9" s="1"/>
  <c r="O59" i="11" l="1"/>
  <c r="Q59" i="11" s="1"/>
  <c r="B60" i="11" s="1"/>
  <c r="G60" i="11" s="1"/>
  <c r="A76" i="9"/>
  <c r="M75" i="9"/>
  <c r="R59" i="11" l="1"/>
  <c r="C60" i="11" s="1"/>
  <c r="J60" i="11" s="1"/>
  <c r="K60" i="11" s="1"/>
  <c r="B76" i="9"/>
  <c r="D76" i="9"/>
  <c r="E76" i="9" s="1"/>
  <c r="S59" i="11" l="1"/>
  <c r="D60" i="11" s="1"/>
  <c r="M60" i="11" s="1"/>
  <c r="N60" i="11" s="1"/>
  <c r="I76" i="9"/>
  <c r="J76" i="9" s="1"/>
  <c r="K76" i="9" s="1"/>
  <c r="L76" i="9" s="1"/>
  <c r="O60" i="11" l="1"/>
  <c r="Q60" i="11" s="1"/>
  <c r="A77" i="9"/>
  <c r="M76" i="9"/>
  <c r="B61" i="11" l="1"/>
  <c r="G61" i="11" s="1"/>
  <c r="R60" i="11"/>
  <c r="C61" i="11" s="1"/>
  <c r="J61" i="11" s="1"/>
  <c r="B77" i="9"/>
  <c r="D77" i="9"/>
  <c r="E77" i="9" s="1"/>
  <c r="K61" i="11" l="1"/>
  <c r="S60" i="11"/>
  <c r="D61" i="11" s="1"/>
  <c r="I77" i="9"/>
  <c r="J77" i="9" s="1"/>
  <c r="K77" i="9" s="1"/>
  <c r="L77" i="9" s="1"/>
  <c r="A78" i="9" s="1"/>
  <c r="M61" i="11" l="1"/>
  <c r="M77" i="9"/>
  <c r="D78" i="9"/>
  <c r="E78" i="9" s="1"/>
  <c r="B78" i="9"/>
  <c r="N61" i="11" l="1"/>
  <c r="I78" i="9"/>
  <c r="J78" i="9" s="1"/>
  <c r="K78" i="9" s="1"/>
  <c r="L78" i="9" s="1"/>
  <c r="A79" i="9" s="1"/>
  <c r="O61" i="11" l="1"/>
  <c r="Q61" i="11" s="1"/>
  <c r="M78" i="9"/>
  <c r="D79" i="9"/>
  <c r="E79" i="9" s="1"/>
  <c r="B79" i="9"/>
  <c r="B62" i="11" l="1"/>
  <c r="G62" i="11" s="1"/>
  <c r="R61" i="11"/>
  <c r="C62" i="11" s="1"/>
  <c r="J62" i="11" s="1"/>
  <c r="I79" i="9"/>
  <c r="J79" i="9" s="1"/>
  <c r="K79" i="9" s="1"/>
  <c r="L79" i="9" s="1"/>
  <c r="S61" i="11" l="1"/>
  <c r="D62" i="11" s="1"/>
  <c r="K62" i="11"/>
  <c r="A80" i="9"/>
  <c r="M79" i="9"/>
  <c r="M62" i="11" l="1"/>
  <c r="N62" i="11" s="1"/>
  <c r="B80" i="9"/>
  <c r="D80" i="9"/>
  <c r="E80" i="9" s="1"/>
  <c r="O62" i="11" l="1"/>
  <c r="Q62" i="11" s="1"/>
  <c r="B63" i="11" s="1"/>
  <c r="G63" i="11" s="1"/>
  <c r="I80" i="9"/>
  <c r="J80" i="9" s="1"/>
  <c r="K80" i="9" s="1"/>
  <c r="L80" i="9" s="1"/>
  <c r="R62" i="11" l="1"/>
  <c r="C63" i="11" s="1"/>
  <c r="J63" i="11" s="1"/>
  <c r="K63" i="11" s="1"/>
  <c r="A81" i="9"/>
  <c r="M80" i="9"/>
  <c r="S62" i="11" l="1"/>
  <c r="D63" i="11" s="1"/>
  <c r="M63" i="11" s="1"/>
  <c r="N63" i="11" s="1"/>
  <c r="D81" i="9"/>
  <c r="E81" i="9" s="1"/>
  <c r="B81" i="9"/>
  <c r="O63" i="11" l="1"/>
  <c r="Q63" i="11" s="1"/>
  <c r="B64" i="11" s="1"/>
  <c r="G64" i="11" s="1"/>
  <c r="I81" i="9"/>
  <c r="J81" i="9" s="1"/>
  <c r="K81" i="9" s="1"/>
  <c r="L81" i="9" s="1"/>
  <c r="A82" i="9" s="1"/>
  <c r="R63" i="11" l="1"/>
  <c r="C64" i="11" s="1"/>
  <c r="J64" i="11" s="1"/>
  <c r="K64" i="11" s="1"/>
  <c r="M81" i="9"/>
  <c r="B82" i="9"/>
  <c r="D82" i="9"/>
  <c r="E82" i="9" s="1"/>
  <c r="S63" i="11" l="1"/>
  <c r="D64" i="11" s="1"/>
  <c r="M64" i="11" s="1"/>
  <c r="N64" i="11" s="1"/>
  <c r="I82" i="9"/>
  <c r="J82" i="9" s="1"/>
  <c r="K82" i="9" s="1"/>
  <c r="L82" i="9" s="1"/>
  <c r="O64" i="11" l="1"/>
  <c r="Q64" i="11" s="1"/>
  <c r="A83" i="9"/>
  <c r="M82" i="9"/>
  <c r="B65" i="11" l="1"/>
  <c r="G65" i="11" s="1"/>
  <c r="R64" i="11"/>
  <c r="C65" i="11" s="1"/>
  <c r="J65" i="11" s="1"/>
  <c r="D83" i="9"/>
  <c r="E83" i="9" s="1"/>
  <c r="B83" i="9"/>
  <c r="S64" i="11" l="1"/>
  <c r="D65" i="11" s="1"/>
  <c r="K65" i="11"/>
  <c r="I83" i="9"/>
  <c r="J83" i="9" s="1"/>
  <c r="K83" i="9" s="1"/>
  <c r="L83" i="9" s="1"/>
  <c r="M65" i="11" l="1"/>
  <c r="N65" i="11" s="1"/>
  <c r="A84" i="9"/>
  <c r="M83" i="9"/>
  <c r="O65" i="11" l="1"/>
  <c r="Q65" i="11" s="1"/>
  <c r="B66" i="11" s="1"/>
  <c r="G66" i="11" s="1"/>
  <c r="D84" i="9"/>
  <c r="E84" i="9" s="1"/>
  <c r="B84" i="9"/>
  <c r="R65" i="11" l="1"/>
  <c r="C66" i="11" s="1"/>
  <c r="J66" i="11" s="1"/>
  <c r="K66" i="11" s="1"/>
  <c r="I84" i="9"/>
  <c r="J84" i="9" s="1"/>
  <c r="K84" i="9" s="1"/>
  <c r="L84" i="9" s="1"/>
  <c r="S65" i="11" l="1"/>
  <c r="D66" i="11" s="1"/>
  <c r="M66" i="11" s="1"/>
  <c r="N66" i="11" s="1"/>
  <c r="A85" i="9"/>
  <c r="M84" i="9"/>
  <c r="O66" i="11" l="1"/>
  <c r="Q66" i="11" s="1"/>
  <c r="B67" i="11" s="1"/>
  <c r="G67" i="11" s="1"/>
  <c r="D85" i="9"/>
  <c r="E85" i="9" s="1"/>
  <c r="B85" i="9"/>
  <c r="R66" i="11" l="1"/>
  <c r="C67" i="11" s="1"/>
  <c r="J67" i="11" s="1"/>
  <c r="K67" i="11" s="1"/>
  <c r="I85" i="9"/>
  <c r="J85" i="9" s="1"/>
  <c r="K85" i="9" s="1"/>
  <c r="L85" i="9" s="1"/>
  <c r="S66" i="11" l="1"/>
  <c r="D67" i="11" s="1"/>
  <c r="M67" i="11" s="1"/>
  <c r="A86" i="9"/>
  <c r="M85" i="9"/>
  <c r="N67" i="11" l="1"/>
  <c r="B86" i="9"/>
  <c r="D86" i="9"/>
  <c r="E86" i="9" s="1"/>
  <c r="O67" i="11" l="1"/>
  <c r="Q67" i="11" s="1"/>
  <c r="B68" i="11" s="1"/>
  <c r="G68" i="11" s="1"/>
  <c r="I86" i="9"/>
  <c r="J86" i="9" s="1"/>
  <c r="K86" i="9" s="1"/>
  <c r="L86" i="9" s="1"/>
  <c r="R67" i="11" l="1"/>
  <c r="C68" i="11" s="1"/>
  <c r="J68" i="11" s="1"/>
  <c r="K68" i="11" s="1"/>
  <c r="A87" i="9"/>
  <c r="M86" i="9"/>
  <c r="S67" i="11" l="1"/>
  <c r="D68" i="11" s="1"/>
  <c r="M68" i="11" s="1"/>
  <c r="N68" i="11" s="1"/>
  <c r="O68" i="11" s="1"/>
  <c r="Q68" i="11" s="1"/>
  <c r="B69" i="11" s="1"/>
  <c r="G69" i="11" s="1"/>
  <c r="B87" i="9"/>
  <c r="D87" i="9"/>
  <c r="E87" i="9" s="1"/>
  <c r="R68" i="11" l="1"/>
  <c r="C69" i="11" s="1"/>
  <c r="J69" i="11" s="1"/>
  <c r="K69" i="11" s="1"/>
  <c r="I87" i="9"/>
  <c r="J87" i="9" s="1"/>
  <c r="K87" i="9" s="1"/>
  <c r="L87" i="9" s="1"/>
  <c r="S68" i="11" l="1"/>
  <c r="D69" i="11" s="1"/>
  <c r="M69" i="11" s="1"/>
  <c r="N69" i="11" s="1"/>
  <c r="A88" i="9"/>
  <c r="M87" i="9"/>
  <c r="O69" i="11" l="1"/>
  <c r="Q69" i="11" s="1"/>
  <c r="B88" i="9"/>
  <c r="D88" i="9"/>
  <c r="E88" i="9" s="1"/>
  <c r="B70" i="11" l="1"/>
  <c r="G70" i="11" s="1"/>
  <c r="R69" i="11"/>
  <c r="C70" i="11" s="1"/>
  <c r="J70" i="11" s="1"/>
  <c r="I88" i="9"/>
  <c r="J88" i="9" s="1"/>
  <c r="K88" i="9" s="1"/>
  <c r="L88" i="9" s="1"/>
  <c r="S69" i="11" l="1"/>
  <c r="D70" i="11" s="1"/>
  <c r="K70" i="11"/>
  <c r="A89" i="9"/>
  <c r="M88" i="9"/>
  <c r="M70" i="11" l="1"/>
  <c r="N70" i="11" s="1"/>
  <c r="D89" i="9"/>
  <c r="E89" i="9" s="1"/>
  <c r="B89" i="9"/>
  <c r="O70" i="11" l="1"/>
  <c r="Q70" i="11" s="1"/>
  <c r="B71" i="11" s="1"/>
  <c r="G71" i="11" s="1"/>
  <c r="I89" i="9"/>
  <c r="J89" i="9" s="1"/>
  <c r="K89" i="9" s="1"/>
  <c r="L89" i="9" s="1"/>
  <c r="A90" i="9" s="1"/>
  <c r="R70" i="11" l="1"/>
  <c r="C71" i="11" s="1"/>
  <c r="J71" i="11" s="1"/>
  <c r="K71" i="11" s="1"/>
  <c r="M89" i="9"/>
  <c r="D90" i="9"/>
  <c r="E90" i="9" s="1"/>
  <c r="B90" i="9"/>
  <c r="S70" i="11" l="1"/>
  <c r="D71" i="11" s="1"/>
  <c r="M71" i="11" s="1"/>
  <c r="N71" i="11" s="1"/>
  <c r="I90" i="9"/>
  <c r="J90" i="9" s="1"/>
  <c r="K90" i="9" s="1"/>
  <c r="L90" i="9" s="1"/>
  <c r="A91" i="9" s="1"/>
  <c r="O71" i="11" l="1"/>
  <c r="Q71" i="11" s="1"/>
  <c r="B72" i="11" s="1"/>
  <c r="G72" i="11" s="1"/>
  <c r="M90" i="9"/>
  <c r="D91" i="9"/>
  <c r="E91" i="9" s="1"/>
  <c r="B91" i="9"/>
  <c r="R71" i="11" l="1"/>
  <c r="C72" i="11" s="1"/>
  <c r="J72" i="11" s="1"/>
  <c r="K72" i="11" s="1"/>
  <c r="I91" i="9"/>
  <c r="J91" i="9" s="1"/>
  <c r="K91" i="9" s="1"/>
  <c r="L91" i="9" s="1"/>
  <c r="A92" i="9" s="1"/>
  <c r="S71" i="11" l="1"/>
  <c r="D72" i="11" s="1"/>
  <c r="M72" i="11" s="1"/>
  <c r="N72" i="11" s="1"/>
  <c r="M91" i="9"/>
  <c r="D92" i="9"/>
  <c r="E92" i="9" s="1"/>
  <c r="B92" i="9"/>
  <c r="O72" i="11" l="1"/>
  <c r="Q72" i="11" s="1"/>
  <c r="B73" i="11" s="1"/>
  <c r="G73" i="11" s="1"/>
  <c r="I92" i="9"/>
  <c r="J92" i="9" s="1"/>
  <c r="K92" i="9" s="1"/>
  <c r="L92" i="9" s="1"/>
  <c r="R72" i="11" l="1"/>
  <c r="C73" i="11" s="1"/>
  <c r="J73" i="11" s="1"/>
  <c r="K73" i="11" s="1"/>
  <c r="A93" i="9"/>
  <c r="M92" i="9"/>
  <c r="S72" i="11" l="1"/>
  <c r="D73" i="11" s="1"/>
  <c r="M73" i="11" s="1"/>
  <c r="D93" i="9"/>
  <c r="E93" i="9" s="1"/>
  <c r="B93" i="9"/>
  <c r="N73" i="11" l="1"/>
  <c r="I93" i="9"/>
  <c r="J93" i="9" s="1"/>
  <c r="K93" i="9" s="1"/>
  <c r="L93" i="9" s="1"/>
  <c r="A94" i="9" s="1"/>
  <c r="O73" i="11" l="1"/>
  <c r="Q73" i="11" s="1"/>
  <c r="M93" i="9"/>
  <c r="D94" i="9"/>
  <c r="E94" i="9" s="1"/>
  <c r="B94" i="9"/>
  <c r="R73" i="11" l="1"/>
  <c r="C74" i="11" s="1"/>
  <c r="J74" i="11" s="1"/>
  <c r="B74" i="11"/>
  <c r="G74" i="11" s="1"/>
  <c r="I94" i="9"/>
  <c r="J94" i="9" s="1"/>
  <c r="K94" i="9" s="1"/>
  <c r="L94" i="9" s="1"/>
  <c r="A95" i="9" s="1"/>
  <c r="K74" i="11" l="1"/>
  <c r="S73" i="11"/>
  <c r="D74" i="11" s="1"/>
  <c r="M94" i="9"/>
  <c r="B95" i="9"/>
  <c r="D95" i="9"/>
  <c r="E95" i="9" s="1"/>
  <c r="M74" i="11" l="1"/>
  <c r="N74" i="11" s="1"/>
  <c r="I95" i="9"/>
  <c r="J95" i="9" s="1"/>
  <c r="K95" i="9" s="1"/>
  <c r="L95" i="9" s="1"/>
  <c r="O74" i="11" l="1"/>
  <c r="Q74" i="11" s="1"/>
  <c r="A96" i="9"/>
  <c r="M95" i="9"/>
  <c r="R74" i="11" l="1"/>
  <c r="C75" i="11" s="1"/>
  <c r="J75" i="11" s="1"/>
  <c r="B75" i="11"/>
  <c r="G75" i="11" s="1"/>
  <c r="D96" i="9"/>
  <c r="E96" i="9" s="1"/>
  <c r="B96" i="9"/>
  <c r="S74" i="11" l="1"/>
  <c r="D75" i="11" s="1"/>
  <c r="K75" i="11"/>
  <c r="I96" i="9"/>
  <c r="J96" i="9" s="1"/>
  <c r="K96" i="9" s="1"/>
  <c r="L96" i="9" s="1"/>
  <c r="M75" i="11" l="1"/>
  <c r="N75" i="11" s="1"/>
  <c r="A97" i="9"/>
  <c r="M96" i="9"/>
  <c r="O75" i="11" l="1"/>
  <c r="Q75" i="11" s="1"/>
  <c r="B76" i="11" s="1"/>
  <c r="G76" i="11" s="1"/>
  <c r="D97" i="9"/>
  <c r="E97" i="9" s="1"/>
  <c r="B97" i="9"/>
  <c r="R75" i="11" l="1"/>
  <c r="C76" i="11" s="1"/>
  <c r="J76" i="11" s="1"/>
  <c r="K76" i="11" s="1"/>
  <c r="I97" i="9"/>
  <c r="J97" i="9" s="1"/>
  <c r="K97" i="9" s="1"/>
  <c r="L97" i="9" s="1"/>
  <c r="S75" i="11" l="1"/>
  <c r="D76" i="11" s="1"/>
  <c r="M76" i="11" s="1"/>
  <c r="A98" i="9"/>
  <c r="M97" i="9"/>
  <c r="N76" i="11" l="1"/>
  <c r="O76" i="11" s="1"/>
  <c r="Q76" i="11" s="1"/>
  <c r="B98" i="9"/>
  <c r="D98" i="9"/>
  <c r="E98" i="9" s="1"/>
  <c r="B77" i="11" l="1"/>
  <c r="G77" i="11" s="1"/>
  <c r="R76" i="11"/>
  <c r="C77" i="11" s="1"/>
  <c r="J77" i="11" s="1"/>
  <c r="I98" i="9"/>
  <c r="J98" i="9" s="1"/>
  <c r="K98" i="9" s="1"/>
  <c r="L98" i="9" s="1"/>
  <c r="K77" i="11" l="1"/>
  <c r="S76" i="11"/>
  <c r="D77" i="11" s="1"/>
  <c r="A99" i="9"/>
  <c r="M98" i="9"/>
  <c r="M77" i="11" l="1"/>
  <c r="N77" i="11" s="1"/>
  <c r="O77" i="11" s="1"/>
  <c r="Q77" i="11" s="1"/>
  <c r="D99" i="9"/>
  <c r="E99" i="9" s="1"/>
  <c r="B99" i="9"/>
  <c r="B78" i="11" l="1"/>
  <c r="G78" i="11" s="1"/>
  <c r="R77" i="11"/>
  <c r="C78" i="11" s="1"/>
  <c r="J78" i="11" s="1"/>
  <c r="I99" i="9"/>
  <c r="K78" i="11" l="1"/>
  <c r="S77" i="11"/>
  <c r="D78" i="11" s="1"/>
  <c r="J99" i="9"/>
  <c r="K99" i="9" s="1"/>
  <c r="L99" i="9" s="1"/>
  <c r="M78" i="11" l="1"/>
  <c r="N78" i="11" s="1"/>
  <c r="O78" i="11" s="1"/>
  <c r="Q78" i="11" s="1"/>
  <c r="B79" i="11" s="1"/>
  <c r="G79" i="11" s="1"/>
  <c r="A100" i="9"/>
  <c r="M99" i="9"/>
  <c r="R78" i="11" l="1"/>
  <c r="C79" i="11" s="1"/>
  <c r="J79" i="11" s="1"/>
  <c r="K79" i="11" s="1"/>
  <c r="D100" i="9"/>
  <c r="E100" i="9" s="1"/>
  <c r="B100" i="9"/>
  <c r="S78" i="11" l="1"/>
  <c r="D79" i="11" s="1"/>
  <c r="M79" i="11" s="1"/>
  <c r="N79" i="11" s="1"/>
  <c r="I100" i="9"/>
  <c r="O79" i="11" l="1"/>
  <c r="Q79" i="11" s="1"/>
  <c r="B80" i="11" s="1"/>
  <c r="G80" i="11" s="1"/>
  <c r="J100" i="9"/>
  <c r="K100" i="9" s="1"/>
  <c r="L100" i="9" s="1"/>
  <c r="R79" i="11" l="1"/>
  <c r="C80" i="11" s="1"/>
  <c r="J80" i="11" s="1"/>
  <c r="K80" i="11" s="1"/>
  <c r="A101" i="9"/>
  <c r="M100" i="9"/>
  <c r="S79" i="11" l="1"/>
  <c r="D80" i="11" s="1"/>
  <c r="M80" i="11" s="1"/>
  <c r="D101" i="9"/>
  <c r="E101" i="9" s="1"/>
  <c r="B101" i="9"/>
  <c r="N80" i="11" l="1"/>
  <c r="O80" i="11" s="1"/>
  <c r="Q80" i="11" s="1"/>
  <c r="B81" i="11" s="1"/>
  <c r="G81" i="11" s="1"/>
  <c r="I101" i="9"/>
  <c r="J101" i="9" s="1"/>
  <c r="K101" i="9" s="1"/>
  <c r="L101" i="9" s="1"/>
  <c r="R80" i="11" l="1"/>
  <c r="C81" i="11" s="1"/>
  <c r="J81" i="11" s="1"/>
  <c r="K81" i="11" s="1"/>
  <c r="A102" i="9"/>
  <c r="M101" i="9"/>
  <c r="S80" i="11" l="1"/>
  <c r="D81" i="11" s="1"/>
  <c r="M81" i="11" s="1"/>
  <c r="N81" i="11" s="1"/>
  <c r="D102" i="9"/>
  <c r="E102" i="9" s="1"/>
  <c r="B102" i="9"/>
  <c r="O81" i="11" l="1"/>
  <c r="Q81" i="11" s="1"/>
  <c r="B82" i="11" s="1"/>
  <c r="G82" i="11" s="1"/>
  <c r="I102" i="9"/>
  <c r="J102" i="9" s="1"/>
  <c r="K102" i="9" s="1"/>
  <c r="L102" i="9" s="1"/>
  <c r="A103" i="9" s="1"/>
  <c r="R81" i="11" l="1"/>
  <c r="C82" i="11" s="1"/>
  <c r="J82" i="11" s="1"/>
  <c r="K82" i="11" s="1"/>
  <c r="M102" i="9"/>
  <c r="D103" i="9"/>
  <c r="E103" i="9" s="1"/>
  <c r="B103" i="9"/>
  <c r="S81" i="11" l="1"/>
  <c r="D82" i="11" s="1"/>
  <c r="M82" i="11" s="1"/>
  <c r="N82" i="11" s="1"/>
  <c r="I103" i="9"/>
  <c r="J103" i="9" s="1"/>
  <c r="K103" i="9" s="1"/>
  <c r="L103" i="9" s="1"/>
  <c r="A104" i="9" s="1"/>
  <c r="O82" i="11" l="1"/>
  <c r="Q82" i="11" s="1"/>
  <c r="B83" i="11" s="1"/>
  <c r="G83" i="11" s="1"/>
  <c r="M103" i="9"/>
  <c r="B104" i="9"/>
  <c r="D104" i="9"/>
  <c r="E104" i="9" s="1"/>
  <c r="R82" i="11" l="1"/>
  <c r="C83" i="11" s="1"/>
  <c r="J83" i="11" s="1"/>
  <c r="K83" i="11" s="1"/>
  <c r="I104" i="9"/>
  <c r="J104" i="9" s="1"/>
  <c r="K104" i="9" s="1"/>
  <c r="L104" i="9" s="1"/>
  <c r="S82" i="11" l="1"/>
  <c r="D83" i="11" s="1"/>
  <c r="M83" i="11" s="1"/>
  <c r="N83" i="11" s="1"/>
  <c r="A105" i="9"/>
  <c r="M104" i="9"/>
  <c r="O83" i="11" l="1"/>
  <c r="Q83" i="11" s="1"/>
  <c r="B84" i="11" s="1"/>
  <c r="G84" i="11" s="1"/>
  <c r="D105" i="9"/>
  <c r="E105" i="9" s="1"/>
  <c r="B105" i="9"/>
  <c r="R83" i="11" l="1"/>
  <c r="C84" i="11" s="1"/>
  <c r="J84" i="11" s="1"/>
  <c r="K84" i="11" s="1"/>
  <c r="I105" i="9"/>
  <c r="J105" i="9" s="1"/>
  <c r="K105" i="9" s="1"/>
  <c r="L105" i="9" s="1"/>
  <c r="A106" i="9" s="1"/>
  <c r="S83" i="11" l="1"/>
  <c r="D84" i="11" s="1"/>
  <c r="M84" i="11" s="1"/>
  <c r="N84" i="11" s="1"/>
  <c r="O84" i="11" s="1"/>
  <c r="Q84" i="11" s="1"/>
  <c r="M105" i="9"/>
  <c r="B106" i="9"/>
  <c r="D106" i="9"/>
  <c r="E106" i="9" s="1"/>
  <c r="R84" i="11" l="1"/>
  <c r="C85" i="11" s="1"/>
  <c r="J85" i="11" s="1"/>
  <c r="B85" i="11"/>
  <c r="G85" i="11" s="1"/>
  <c r="I106" i="9"/>
  <c r="J106" i="9" s="1"/>
  <c r="K106" i="9" s="1"/>
  <c r="L106" i="9" s="1"/>
  <c r="S84" i="11" l="1"/>
  <c r="D85" i="11" s="1"/>
  <c r="K85" i="11"/>
  <c r="A107" i="9"/>
  <c r="M106" i="9"/>
  <c r="M85" i="11" l="1"/>
  <c r="N85" i="11" s="1"/>
  <c r="O85" i="11" s="1"/>
  <c r="Q85" i="11" s="1"/>
  <c r="B107" i="9"/>
  <c r="D107" i="9"/>
  <c r="E107" i="9" s="1"/>
  <c r="B86" i="11" l="1"/>
  <c r="G86" i="11" s="1"/>
  <c r="R85" i="11"/>
  <c r="C86" i="11" s="1"/>
  <c r="J86" i="11" s="1"/>
  <c r="I107" i="9"/>
  <c r="J107" i="9" s="1"/>
  <c r="K107" i="9" s="1"/>
  <c r="L107" i="9" s="1"/>
  <c r="K86" i="11" l="1"/>
  <c r="S85" i="11"/>
  <c r="D86" i="11" s="1"/>
  <c r="A108" i="9"/>
  <c r="M107" i="9"/>
  <c r="M86" i="11" l="1"/>
  <c r="D108" i="9"/>
  <c r="E108" i="9" s="1"/>
  <c r="B108" i="9"/>
  <c r="N86" i="11" l="1"/>
  <c r="O86" i="11" s="1"/>
  <c r="Q86" i="11" s="1"/>
  <c r="I108" i="9"/>
  <c r="J108" i="9" s="1"/>
  <c r="K108" i="9" s="1"/>
  <c r="L108" i="9" s="1"/>
  <c r="R86" i="11" l="1"/>
  <c r="C87" i="11" s="1"/>
  <c r="J87" i="11" s="1"/>
  <c r="B87" i="11"/>
  <c r="G87" i="11" s="1"/>
  <c r="A109" i="9"/>
  <c r="M108" i="9"/>
  <c r="S86" i="11" l="1"/>
  <c r="D87" i="11" s="1"/>
  <c r="K87" i="11"/>
  <c r="B109" i="9"/>
  <c r="D109" i="9"/>
  <c r="E109" i="9" s="1"/>
  <c r="M87" i="11" l="1"/>
  <c r="N87" i="11" s="1"/>
  <c r="O87" i="11" s="1"/>
  <c r="Q87" i="11" s="1"/>
  <c r="I109" i="9"/>
  <c r="J109" i="9" s="1"/>
  <c r="K109" i="9" s="1"/>
  <c r="L109" i="9" s="1"/>
  <c r="A110" i="9" s="1"/>
  <c r="B88" i="11" l="1"/>
  <c r="G88" i="11" s="1"/>
  <c r="R87" i="11"/>
  <c r="C88" i="11" s="1"/>
  <c r="J88" i="11" s="1"/>
  <c r="M109" i="9"/>
  <c r="B110" i="9"/>
  <c r="D110" i="9"/>
  <c r="E110" i="9" s="1"/>
  <c r="S87" i="11" l="1"/>
  <c r="D88" i="11" s="1"/>
  <c r="K88" i="11"/>
  <c r="I110" i="9"/>
  <c r="J110" i="9" s="1"/>
  <c r="K110" i="9" s="1"/>
  <c r="L110" i="9" s="1"/>
  <c r="M88" i="11" l="1"/>
  <c r="A111" i="9"/>
  <c r="M110" i="9"/>
  <c r="N88" i="11" l="1"/>
  <c r="D111" i="9"/>
  <c r="E111" i="9" s="1"/>
  <c r="B111" i="9"/>
  <c r="O88" i="11" l="1"/>
  <c r="Q88" i="11" s="1"/>
  <c r="B89" i="11" s="1"/>
  <c r="G89" i="11" s="1"/>
  <c r="I111" i="9"/>
  <c r="J111" i="9" s="1"/>
  <c r="K111" i="9" s="1"/>
  <c r="L111" i="9" s="1"/>
  <c r="A112" i="9" s="1"/>
  <c r="R88" i="11" l="1"/>
  <c r="M111" i="9"/>
  <c r="B112" i="9"/>
  <c r="D112" i="9"/>
  <c r="E112" i="9" s="1"/>
  <c r="C89" i="11" l="1"/>
  <c r="J89" i="11" s="1"/>
  <c r="K89" i="11" s="1"/>
  <c r="S88" i="11"/>
  <c r="D89" i="11" s="1"/>
  <c r="I112" i="9"/>
  <c r="J112" i="9" s="1"/>
  <c r="K112" i="9" s="1"/>
  <c r="L112" i="9" s="1"/>
  <c r="M89" i="11" l="1"/>
  <c r="A113" i="9"/>
  <c r="M112" i="9"/>
  <c r="N89" i="11" l="1"/>
  <c r="O89" i="11" s="1"/>
  <c r="Q89" i="11" s="1"/>
  <c r="B113" i="9"/>
  <c r="D113" i="9"/>
  <c r="E113" i="9" s="1"/>
  <c r="B90" i="11" l="1"/>
  <c r="G90" i="11" s="1"/>
  <c r="R89" i="11"/>
  <c r="C90" i="11" s="1"/>
  <c r="J90" i="11" s="1"/>
  <c r="I113" i="9"/>
  <c r="S89" i="11" l="1"/>
  <c r="D90" i="11" s="1"/>
  <c r="K90" i="11"/>
  <c r="J113" i="9"/>
  <c r="K113" i="9" s="1"/>
  <c r="L113" i="9" s="1"/>
  <c r="M90" i="11" l="1"/>
  <c r="A114" i="9"/>
  <c r="M113" i="9"/>
  <c r="N90" i="11" l="1"/>
  <c r="O90" i="11" s="1"/>
  <c r="Q90" i="11" s="1"/>
  <c r="D114" i="9"/>
  <c r="E114" i="9" s="1"/>
  <c r="B114" i="9"/>
  <c r="R90" i="11" l="1"/>
  <c r="C91" i="11" s="1"/>
  <c r="J91" i="11" s="1"/>
  <c r="B91" i="11"/>
  <c r="G91" i="11" s="1"/>
  <c r="I114" i="9"/>
  <c r="J114" i="9" s="1"/>
  <c r="K114" i="9" s="1"/>
  <c r="L114" i="9" s="1"/>
  <c r="S90" i="11" l="1"/>
  <c r="D91" i="11" s="1"/>
  <c r="K91" i="11"/>
  <c r="A115" i="9"/>
  <c r="M114" i="9"/>
  <c r="M91" i="11" l="1"/>
  <c r="N91" i="11" s="1"/>
  <c r="D115" i="9"/>
  <c r="E115" i="9" s="1"/>
  <c r="B115" i="9"/>
  <c r="O91" i="11" l="1"/>
  <c r="Q91" i="11" s="1"/>
  <c r="B92" i="11" s="1"/>
  <c r="G92" i="11" s="1"/>
  <c r="I115" i="9"/>
  <c r="J115" i="9" s="1"/>
  <c r="K115" i="9" s="1"/>
  <c r="L115" i="9" s="1"/>
  <c r="A116" i="9" s="1"/>
  <c r="R91" i="11" l="1"/>
  <c r="M115" i="9"/>
  <c r="D116" i="9"/>
  <c r="E116" i="9" s="1"/>
  <c r="B116" i="9"/>
  <c r="C92" i="11" l="1"/>
  <c r="J92" i="11" s="1"/>
  <c r="K92" i="11" s="1"/>
  <c r="S91" i="11"/>
  <c r="D92" i="11" s="1"/>
  <c r="I116" i="9"/>
  <c r="J116" i="9" s="1"/>
  <c r="K116" i="9" s="1"/>
  <c r="L116" i="9" s="1"/>
  <c r="A117" i="9" s="1"/>
  <c r="M92" i="11" l="1"/>
  <c r="N92" i="11" s="1"/>
  <c r="M116" i="9"/>
  <c r="D117" i="9"/>
  <c r="E117" i="9" s="1"/>
  <c r="B117" i="9"/>
  <c r="O92" i="11" l="1"/>
  <c r="Q92" i="11" s="1"/>
  <c r="B93" i="11" s="1"/>
  <c r="G93" i="11" s="1"/>
  <c r="I117" i="9"/>
  <c r="J117" i="9" s="1"/>
  <c r="K117" i="9" s="1"/>
  <c r="L117" i="9" s="1"/>
  <c r="A118" i="9" s="1"/>
  <c r="R92" i="11" l="1"/>
  <c r="C93" i="11" s="1"/>
  <c r="J93" i="11" s="1"/>
  <c r="K93" i="11" s="1"/>
  <c r="M117" i="9"/>
  <c r="B118" i="9"/>
  <c r="D118" i="9"/>
  <c r="E118" i="9" s="1"/>
  <c r="S92" i="11" l="1"/>
  <c r="D93" i="11" s="1"/>
  <c r="M93" i="11" s="1"/>
  <c r="I118" i="9"/>
  <c r="N93" i="11" l="1"/>
  <c r="O93" i="11" s="1"/>
  <c r="Q93" i="11" s="1"/>
  <c r="J118" i="9"/>
  <c r="K118" i="9" s="1"/>
  <c r="L118" i="9" s="1"/>
  <c r="B94" i="11" l="1"/>
  <c r="G94" i="11" s="1"/>
  <c r="R93" i="11"/>
  <c r="C94" i="11" s="1"/>
  <c r="J94" i="11" s="1"/>
  <c r="A119" i="9"/>
  <c r="M118" i="9"/>
  <c r="K94" i="11" l="1"/>
  <c r="S93" i="11"/>
  <c r="D94" i="11" s="1"/>
  <c r="D119" i="9"/>
  <c r="E119" i="9" s="1"/>
  <c r="B119" i="9"/>
  <c r="M94" i="11" l="1"/>
  <c r="N94" i="11" s="1"/>
  <c r="O94" i="11" s="1"/>
  <c r="I119" i="9"/>
  <c r="J119" i="9" s="1"/>
  <c r="K119" i="9" s="1"/>
  <c r="L119" i="9" s="1"/>
  <c r="R94" i="11" l="1"/>
  <c r="C95" i="11" s="1"/>
  <c r="J95" i="11" s="1"/>
  <c r="Q94" i="11"/>
  <c r="A120" i="9"/>
  <c r="M119" i="9"/>
  <c r="B95" i="11" l="1"/>
  <c r="G95" i="11" s="1"/>
  <c r="K95" i="11" s="1"/>
  <c r="S94" i="11"/>
  <c r="D95" i="11" s="1"/>
  <c r="D120" i="9"/>
  <c r="E120" i="9" s="1"/>
  <c r="B120" i="9"/>
  <c r="M95" i="11" l="1"/>
  <c r="N95" i="11" s="1"/>
  <c r="O95" i="11" s="1"/>
  <c r="Q95" i="11" s="1"/>
  <c r="I120" i="9"/>
  <c r="J120" i="9" s="1"/>
  <c r="K120" i="9" s="1"/>
  <c r="L120" i="9" s="1"/>
  <c r="B96" i="11" l="1"/>
  <c r="G96" i="11" s="1"/>
  <c r="R95" i="11"/>
  <c r="C96" i="11" s="1"/>
  <c r="J96" i="11" s="1"/>
  <c r="A121" i="9"/>
  <c r="M120" i="9"/>
  <c r="S95" i="11" l="1"/>
  <c r="D96" i="11" s="1"/>
  <c r="K96" i="11"/>
  <c r="B121" i="9"/>
  <c r="D121" i="9"/>
  <c r="E121" i="9" s="1"/>
  <c r="M96" i="11" l="1"/>
  <c r="N96" i="11" s="1"/>
  <c r="I121" i="9"/>
  <c r="J121" i="9" s="1"/>
  <c r="K121" i="9" s="1"/>
  <c r="L121" i="9" s="1"/>
  <c r="O96" i="11" l="1"/>
  <c r="Q96" i="11" s="1"/>
  <c r="A122" i="9"/>
  <c r="M121" i="9"/>
  <c r="R96" i="11" l="1"/>
  <c r="C97" i="11" s="1"/>
  <c r="J97" i="11" s="1"/>
  <c r="B97" i="11"/>
  <c r="G97" i="11" s="1"/>
  <c r="D122" i="9"/>
  <c r="E122" i="9" s="1"/>
  <c r="B122" i="9"/>
  <c r="K97" i="11" l="1"/>
  <c r="S96" i="11"/>
  <c r="D97" i="11" s="1"/>
  <c r="I122" i="9"/>
  <c r="J122" i="9" s="1"/>
  <c r="K122" i="9" s="1"/>
  <c r="L122" i="9" s="1"/>
  <c r="M97" i="11" l="1"/>
  <c r="N97" i="11" s="1"/>
  <c r="A123" i="9"/>
  <c r="M122" i="9"/>
  <c r="O97" i="11" l="1"/>
  <c r="Q97" i="11" s="1"/>
  <c r="B98" i="11" s="1"/>
  <c r="G98" i="11" s="1"/>
  <c r="B123" i="9"/>
  <c r="D123" i="9"/>
  <c r="E123" i="9" s="1"/>
  <c r="R97" i="11" l="1"/>
  <c r="C98" i="11" s="1"/>
  <c r="J98" i="11" s="1"/>
  <c r="K98" i="11" s="1"/>
  <c r="I123" i="9"/>
  <c r="J123" i="9" s="1"/>
  <c r="K123" i="9" s="1"/>
  <c r="L123" i="9" s="1"/>
  <c r="S97" i="11" l="1"/>
  <c r="D98" i="11" s="1"/>
  <c r="M98" i="11" s="1"/>
  <c r="N98" i="11" s="1"/>
  <c r="A124" i="9"/>
  <c r="M123" i="9"/>
  <c r="O98" i="11" l="1"/>
  <c r="Q98" i="11" s="1"/>
  <c r="B99" i="11" s="1"/>
  <c r="G99" i="11" s="1"/>
  <c r="B124" i="9"/>
  <c r="D124" i="9"/>
  <c r="E124" i="9" s="1"/>
  <c r="R98" i="11" l="1"/>
  <c r="C99" i="11" s="1"/>
  <c r="J99" i="11" s="1"/>
  <c r="K99" i="11" s="1"/>
  <c r="I124" i="9"/>
  <c r="S98" i="11" l="1"/>
  <c r="D99" i="11" s="1"/>
  <c r="M99" i="11" s="1"/>
  <c r="N99" i="11" s="1"/>
  <c r="J124" i="9"/>
  <c r="K124" i="9" s="1"/>
  <c r="L124" i="9" s="1"/>
  <c r="O99" i="11" l="1"/>
  <c r="R99" i="11" s="1"/>
  <c r="C100" i="11" s="1"/>
  <c r="J100" i="11" s="1"/>
  <c r="A125" i="9"/>
  <c r="M124" i="9"/>
  <c r="Q99" i="11" l="1"/>
  <c r="B100" i="11" s="1"/>
  <c r="G100" i="11" s="1"/>
  <c r="K100" i="11" s="1"/>
  <c r="D125" i="9"/>
  <c r="E125" i="9" s="1"/>
  <c r="B125" i="9"/>
  <c r="S99" i="11" l="1"/>
  <c r="D100" i="11" s="1"/>
  <c r="M100" i="11" s="1"/>
  <c r="N100" i="11" s="1"/>
  <c r="O100" i="11" s="1"/>
  <c r="Q100" i="11" s="1"/>
  <c r="I125" i="9"/>
  <c r="B101" i="11" l="1"/>
  <c r="G101" i="11" s="1"/>
  <c r="R100" i="11"/>
  <c r="C101" i="11" s="1"/>
  <c r="J101" i="11" s="1"/>
  <c r="J125" i="9"/>
  <c r="K125" i="9" s="1"/>
  <c r="L125" i="9" s="1"/>
  <c r="S100" i="11" l="1"/>
  <c r="D101" i="11" s="1"/>
  <c r="K101" i="11"/>
  <c r="A126" i="9"/>
  <c r="M125" i="9"/>
  <c r="M101" i="11" l="1"/>
  <c r="N101" i="11" s="1"/>
  <c r="D126" i="9"/>
  <c r="E126" i="9" s="1"/>
  <c r="B126" i="9"/>
  <c r="O101" i="11" l="1"/>
  <c r="Q101" i="11" s="1"/>
  <c r="B102" i="11" s="1"/>
  <c r="G102" i="11" s="1"/>
  <c r="I126" i="9"/>
  <c r="J126" i="9" s="1"/>
  <c r="K126" i="9" s="1"/>
  <c r="L126" i="9" s="1"/>
  <c r="R101" i="11" l="1"/>
  <c r="C102" i="11" s="1"/>
  <c r="J102" i="11" s="1"/>
  <c r="K102" i="11" s="1"/>
  <c r="A127" i="9"/>
  <c r="M126" i="9"/>
  <c r="S101" i="11" l="1"/>
  <c r="D102" i="11" s="1"/>
  <c r="M102" i="11" s="1"/>
  <c r="N102" i="11" s="1"/>
  <c r="B127" i="9"/>
  <c r="D127" i="9"/>
  <c r="E127" i="9" s="1"/>
  <c r="O102" i="11" l="1"/>
  <c r="Q102" i="11" s="1"/>
  <c r="B103" i="11" s="1"/>
  <c r="G103" i="11" s="1"/>
  <c r="I127" i="9"/>
  <c r="J127" i="9" s="1"/>
  <c r="K127" i="9" s="1"/>
  <c r="L127" i="9" s="1"/>
  <c r="R102" i="11" l="1"/>
  <c r="C103" i="11" s="1"/>
  <c r="J103" i="11" s="1"/>
  <c r="K103" i="11" s="1"/>
  <c r="A128" i="9"/>
  <c r="M127" i="9"/>
  <c r="S102" i="11" l="1"/>
  <c r="D103" i="11" s="1"/>
  <c r="M103" i="11" s="1"/>
  <c r="N103" i="11" s="1"/>
  <c r="D128" i="9"/>
  <c r="E128" i="9" s="1"/>
  <c r="B128" i="9"/>
  <c r="O103" i="11" l="1"/>
  <c r="Q103" i="11" s="1"/>
  <c r="B104" i="11" s="1"/>
  <c r="G104" i="11" s="1"/>
  <c r="I128" i="9"/>
  <c r="J128" i="9" s="1"/>
  <c r="K128" i="9" s="1"/>
  <c r="L128" i="9" s="1"/>
  <c r="A129" i="9" s="1"/>
  <c r="R103" i="11" l="1"/>
  <c r="C104" i="11" s="1"/>
  <c r="J104" i="11" s="1"/>
  <c r="K104" i="11" s="1"/>
  <c r="M128" i="9"/>
  <c r="B129" i="9"/>
  <c r="D129" i="9"/>
  <c r="E129" i="9" s="1"/>
  <c r="S103" i="11" l="1"/>
  <c r="D104" i="11" s="1"/>
  <c r="M104" i="11" s="1"/>
  <c r="N104" i="11" s="1"/>
  <c r="O104" i="11" s="1"/>
  <c r="Q104" i="11" s="1"/>
  <c r="I129" i="9"/>
  <c r="J129" i="9" s="1"/>
  <c r="K129" i="9" s="1"/>
  <c r="L129" i="9" s="1"/>
  <c r="B105" i="11" l="1"/>
  <c r="G105" i="11" s="1"/>
  <c r="R104" i="11"/>
  <c r="C105" i="11" s="1"/>
  <c r="J105" i="11" s="1"/>
  <c r="A130" i="9"/>
  <c r="M129" i="9"/>
  <c r="S104" i="11" l="1"/>
  <c r="D105" i="11" s="1"/>
  <c r="K105" i="11"/>
  <c r="D130" i="9"/>
  <c r="E130" i="9" s="1"/>
  <c r="B130" i="9"/>
  <c r="M105" i="11" l="1"/>
  <c r="N105" i="11" s="1"/>
  <c r="I130" i="9"/>
  <c r="O105" i="11" l="1"/>
  <c r="Q105" i="11" s="1"/>
  <c r="B106" i="11" s="1"/>
  <c r="G106" i="11" s="1"/>
  <c r="J130" i="9"/>
  <c r="K130" i="9" s="1"/>
  <c r="L130" i="9" s="1"/>
  <c r="R105" i="11" l="1"/>
  <c r="C106" i="11" s="1"/>
  <c r="J106" i="11" s="1"/>
  <c r="K106" i="11" s="1"/>
  <c r="A131" i="9"/>
  <c r="M130" i="9"/>
  <c r="S105" i="11" l="1"/>
  <c r="D106" i="11" s="1"/>
  <c r="M106" i="11" s="1"/>
  <c r="D131" i="9"/>
  <c r="E131" i="9" s="1"/>
  <c r="B131" i="9"/>
  <c r="N106" i="11" l="1"/>
  <c r="O106" i="11" s="1"/>
  <c r="Q106" i="11" s="1"/>
  <c r="B107" i="11" s="1"/>
  <c r="G107" i="11" s="1"/>
  <c r="I131" i="9"/>
  <c r="J131" i="9" s="1"/>
  <c r="K131" i="9" s="1"/>
  <c r="L131" i="9" s="1"/>
  <c r="R106" i="11" l="1"/>
  <c r="C107" i="11" s="1"/>
  <c r="J107" i="11" s="1"/>
  <c r="K107" i="11" s="1"/>
  <c r="A132" i="9"/>
  <c r="M131" i="9"/>
  <c r="S106" i="11" l="1"/>
  <c r="D107" i="11" s="1"/>
  <c r="M107" i="11" s="1"/>
  <c r="N107" i="11" s="1"/>
  <c r="O107" i="11" s="1"/>
  <c r="Q107" i="11" s="1"/>
  <c r="B108" i="11" s="1"/>
  <c r="G108" i="11" s="1"/>
  <c r="B132" i="9"/>
  <c r="D132" i="9"/>
  <c r="E132" i="9" s="1"/>
  <c r="R107" i="11" l="1"/>
  <c r="C108" i="11" s="1"/>
  <c r="J108" i="11" s="1"/>
  <c r="K108" i="11" s="1"/>
  <c r="I132" i="9"/>
  <c r="J132" i="9" s="1"/>
  <c r="K132" i="9" s="1"/>
  <c r="L132" i="9" s="1"/>
  <c r="A133" i="9" s="1"/>
  <c r="S107" i="11" l="1"/>
  <c r="D108" i="11" s="1"/>
  <c r="M108" i="11" s="1"/>
  <c r="N108" i="11" s="1"/>
  <c r="M132" i="9"/>
  <c r="B133" i="9"/>
  <c r="D133" i="9"/>
  <c r="E133" i="9" s="1"/>
  <c r="O108" i="11" l="1"/>
  <c r="Q108" i="11" s="1"/>
  <c r="B109" i="11" s="1"/>
  <c r="G109" i="11" s="1"/>
  <c r="I133" i="9"/>
  <c r="J133" i="9" s="1"/>
  <c r="K133" i="9" s="1"/>
  <c r="L133" i="9" s="1"/>
  <c r="A134" i="9" s="1"/>
  <c r="R108" i="11" l="1"/>
  <c r="C109" i="11" s="1"/>
  <c r="J109" i="11" s="1"/>
  <c r="K109" i="11" s="1"/>
  <c r="M133" i="9"/>
  <c r="D134" i="9"/>
  <c r="E134" i="9" s="1"/>
  <c r="B134" i="9"/>
  <c r="S108" i="11" l="1"/>
  <c r="D109" i="11" s="1"/>
  <c r="M109" i="11" s="1"/>
  <c r="I134" i="9"/>
  <c r="J134" i="9" s="1"/>
  <c r="N109" i="11" l="1"/>
  <c r="O109" i="11" s="1"/>
  <c r="Q109" i="11" s="1"/>
  <c r="B110" i="11" s="1"/>
  <c r="G110" i="11" s="1"/>
  <c r="K134" i="9"/>
  <c r="L134" i="9" s="1"/>
  <c r="A135" i="9" s="1"/>
  <c r="R109" i="11" l="1"/>
  <c r="C110" i="11" s="1"/>
  <c r="J110" i="11" s="1"/>
  <c r="K110" i="11" s="1"/>
  <c r="M134" i="9"/>
  <c r="B135" i="9"/>
  <c r="D135" i="9"/>
  <c r="E135" i="9" s="1"/>
  <c r="S109" i="11" l="1"/>
  <c r="D110" i="11" s="1"/>
  <c r="M110" i="11" s="1"/>
  <c r="N110" i="11" s="1"/>
  <c r="I135" i="9"/>
  <c r="J135" i="9" s="1"/>
  <c r="K135" i="9" s="1"/>
  <c r="L135" i="9" s="1"/>
  <c r="M135" i="9" s="1"/>
  <c r="O110" i="11" l="1"/>
  <c r="Q110" i="11" s="1"/>
  <c r="B111" i="11" s="1"/>
  <c r="G111" i="11" s="1"/>
  <c r="A136" i="9"/>
  <c r="B136" i="9" s="1"/>
  <c r="R110" i="11" l="1"/>
  <c r="C111" i="11" s="1"/>
  <c r="J111" i="11" s="1"/>
  <c r="K111" i="11" s="1"/>
  <c r="D136" i="9"/>
  <c r="E136" i="9" s="1"/>
  <c r="I136" i="9" s="1"/>
  <c r="J136" i="9" s="1"/>
  <c r="K136" i="9" s="1"/>
  <c r="L136" i="9" s="1"/>
  <c r="S110" i="11" l="1"/>
  <c r="D111" i="11" s="1"/>
  <c r="M111" i="11" s="1"/>
  <c r="N111" i="11" s="1"/>
  <c r="A137" i="9"/>
  <c r="M136" i="9"/>
  <c r="O111" i="11" l="1"/>
  <c r="Q111" i="11" s="1"/>
  <c r="B112" i="11" s="1"/>
  <c r="G112" i="11" s="1"/>
  <c r="B137" i="9"/>
  <c r="D137" i="9"/>
  <c r="E137" i="9" s="1"/>
  <c r="R111" i="11" l="1"/>
  <c r="C112" i="11" s="1"/>
  <c r="J112" i="11" s="1"/>
  <c r="K112" i="11" s="1"/>
  <c r="I137" i="9"/>
  <c r="J137" i="9" s="1"/>
  <c r="K137" i="9" s="1"/>
  <c r="L137" i="9" s="1"/>
  <c r="S111" i="11" l="1"/>
  <c r="D112" i="11" s="1"/>
  <c r="M112" i="11" s="1"/>
  <c r="A138" i="9"/>
  <c r="M137" i="9"/>
  <c r="N112" i="11" l="1"/>
  <c r="O112" i="11" s="1"/>
  <c r="Q112" i="11" s="1"/>
  <c r="D138" i="9"/>
  <c r="E138" i="9" s="1"/>
  <c r="B138" i="9"/>
  <c r="B113" i="11" l="1"/>
  <c r="G113" i="11" s="1"/>
  <c r="R112" i="11"/>
  <c r="C113" i="11" s="1"/>
  <c r="J113" i="11" s="1"/>
  <c r="I138" i="9"/>
  <c r="J138" i="9" s="1"/>
  <c r="K138" i="9" s="1"/>
  <c r="L138" i="9" s="1"/>
  <c r="A139" i="9" s="1"/>
  <c r="K113" i="11" l="1"/>
  <c r="S112" i="11"/>
  <c r="D113" i="11" s="1"/>
  <c r="M138" i="9"/>
  <c r="B139" i="9"/>
  <c r="D139" i="9"/>
  <c r="E139" i="9" s="1"/>
  <c r="M113" i="11" l="1"/>
  <c r="I139" i="9"/>
  <c r="J139" i="9" s="1"/>
  <c r="K139" i="9" s="1"/>
  <c r="L139" i="9" s="1"/>
  <c r="N113" i="11" l="1"/>
  <c r="O113" i="11" s="1"/>
  <c r="Q113" i="11" s="1"/>
  <c r="A140" i="9"/>
  <c r="M139" i="9"/>
  <c r="B114" i="11" l="1"/>
  <c r="G114" i="11" s="1"/>
  <c r="R113" i="11"/>
  <c r="C114" i="11" s="1"/>
  <c r="J114" i="11" s="1"/>
  <c r="D140" i="9"/>
  <c r="E140" i="9" s="1"/>
  <c r="B140" i="9"/>
  <c r="S113" i="11" l="1"/>
  <c r="D114" i="11" s="1"/>
  <c r="K114" i="11"/>
  <c r="I140" i="9"/>
  <c r="J140" i="9" s="1"/>
  <c r="K140" i="9" s="1"/>
  <c r="L140" i="9" s="1"/>
  <c r="A141" i="9" s="1"/>
  <c r="M114" i="11" l="1"/>
  <c r="M140" i="9"/>
  <c r="D141" i="9"/>
  <c r="E141" i="9" s="1"/>
  <c r="B141" i="9"/>
  <c r="N114" i="11" l="1"/>
  <c r="O114" i="11" s="1"/>
  <c r="Q114" i="11" s="1"/>
  <c r="I141" i="9"/>
  <c r="J141" i="9" s="1"/>
  <c r="K141" i="9" s="1"/>
  <c r="L141" i="9" s="1"/>
  <c r="B115" i="11" l="1"/>
  <c r="G115" i="11" s="1"/>
  <c r="R114" i="11"/>
  <c r="C115" i="11" s="1"/>
  <c r="J115" i="11" s="1"/>
  <c r="A142" i="9"/>
  <c r="M141" i="9"/>
  <c r="K115" i="11" l="1"/>
  <c r="S114" i="11"/>
  <c r="D115" i="11" s="1"/>
  <c r="D142" i="9"/>
  <c r="E142" i="9" s="1"/>
  <c r="B142" i="9"/>
  <c r="M115" i="11" l="1"/>
  <c r="I142" i="9"/>
  <c r="J142" i="9" s="1"/>
  <c r="K142" i="9" s="1"/>
  <c r="L142" i="9" s="1"/>
  <c r="N115" i="11" l="1"/>
  <c r="A143" i="9"/>
  <c r="M142" i="9"/>
  <c r="O115" i="11" l="1"/>
  <c r="Q115" i="11" s="1"/>
  <c r="D143" i="9"/>
  <c r="E143" i="9" s="1"/>
  <c r="B143" i="9"/>
  <c r="B116" i="11" l="1"/>
  <c r="G116" i="11" s="1"/>
  <c r="R115" i="11"/>
  <c r="C116" i="11" s="1"/>
  <c r="J116" i="11" s="1"/>
  <c r="I143" i="9"/>
  <c r="J143" i="9" s="1"/>
  <c r="K143" i="9" s="1"/>
  <c r="L143" i="9" s="1"/>
  <c r="S115" i="11" l="1"/>
  <c r="D116" i="11" s="1"/>
  <c r="K116" i="11"/>
  <c r="A144" i="9"/>
  <c r="M143" i="9"/>
  <c r="M116" i="11" l="1"/>
  <c r="N116" i="11" s="1"/>
  <c r="O116" i="11" s="1"/>
  <c r="Q116" i="11" s="1"/>
  <c r="D144" i="9"/>
  <c r="E144" i="9" s="1"/>
  <c r="B144" i="9"/>
  <c r="B117" i="11" l="1"/>
  <c r="G117" i="11" s="1"/>
  <c r="R116" i="11"/>
  <c r="C117" i="11" s="1"/>
  <c r="J117" i="11" s="1"/>
  <c r="I144" i="9"/>
  <c r="J144" i="9" s="1"/>
  <c r="K144" i="9" s="1"/>
  <c r="L144" i="9" s="1"/>
  <c r="A145" i="9" s="1"/>
  <c r="S116" i="11" l="1"/>
  <c r="D117" i="11" s="1"/>
  <c r="K117" i="11"/>
  <c r="M144" i="9"/>
  <c r="D145" i="9"/>
  <c r="E145" i="9" s="1"/>
  <c r="B145" i="9"/>
  <c r="M117" i="11" l="1"/>
  <c r="N117" i="11" s="1"/>
  <c r="I145" i="9"/>
  <c r="J145" i="9" s="1"/>
  <c r="K145" i="9" s="1"/>
  <c r="L145" i="9" s="1"/>
  <c r="M145" i="9" s="1"/>
  <c r="O117" i="11" l="1"/>
  <c r="Q117" i="11" s="1"/>
  <c r="B118" i="11" s="1"/>
  <c r="G118" i="11" s="1"/>
  <c r="A146" i="9"/>
  <c r="B146" i="9" s="1"/>
  <c r="R117" i="11" l="1"/>
  <c r="C118" i="11" s="1"/>
  <c r="J118" i="11" s="1"/>
  <c r="K118" i="11" s="1"/>
  <c r="D146" i="9"/>
  <c r="E146" i="9" s="1"/>
  <c r="I146" i="9" s="1"/>
  <c r="J146" i="9" s="1"/>
  <c r="K146" i="9" s="1"/>
  <c r="L146" i="9" s="1"/>
  <c r="A147" i="9" s="1"/>
  <c r="S117" i="11" l="1"/>
  <c r="D118" i="11" s="1"/>
  <c r="M118" i="11" s="1"/>
  <c r="M146" i="9"/>
  <c r="D147" i="9"/>
  <c r="E147" i="9" s="1"/>
  <c r="B147" i="9"/>
  <c r="N118" i="11" l="1"/>
  <c r="I147" i="9"/>
  <c r="J147" i="9" s="1"/>
  <c r="K147" i="9" s="1"/>
  <c r="L147" i="9" s="1"/>
  <c r="A148" i="9" s="1"/>
  <c r="O118" i="11" l="1"/>
  <c r="Q118" i="11" s="1"/>
  <c r="B119" i="11" s="1"/>
  <c r="G119" i="11" s="1"/>
  <c r="M147" i="9"/>
  <c r="D148" i="9"/>
  <c r="E148" i="9" s="1"/>
  <c r="B148" i="9"/>
  <c r="R118" i="11" l="1"/>
  <c r="C119" i="11" s="1"/>
  <c r="J119" i="11" s="1"/>
  <c r="K119" i="11" s="1"/>
  <c r="I148" i="9"/>
  <c r="J148" i="9" s="1"/>
  <c r="K148" i="9" s="1"/>
  <c r="L148" i="9" s="1"/>
  <c r="A149" i="9" s="1"/>
  <c r="S118" i="11" l="1"/>
  <c r="D119" i="11" s="1"/>
  <c r="M119" i="11" s="1"/>
  <c r="N119" i="11" s="1"/>
  <c r="O119" i="11" s="1"/>
  <c r="Q119" i="11" s="1"/>
  <c r="B120" i="11" s="1"/>
  <c r="G120" i="11" s="1"/>
  <c r="M148" i="9"/>
  <c r="B149" i="9"/>
  <c r="D149" i="9"/>
  <c r="E149" i="9" s="1"/>
  <c r="R119" i="11" l="1"/>
  <c r="C120" i="11" s="1"/>
  <c r="J120" i="11" s="1"/>
  <c r="K120" i="11" s="1"/>
  <c r="I149" i="9"/>
  <c r="J149" i="9" s="1"/>
  <c r="K149" i="9" s="1"/>
  <c r="L149" i="9" s="1"/>
  <c r="S119" i="11" l="1"/>
  <c r="D120" i="11" s="1"/>
  <c r="M120" i="11" s="1"/>
  <c r="N120" i="11" s="1"/>
  <c r="A150" i="9"/>
  <c r="M149" i="9"/>
  <c r="O120" i="11" l="1"/>
  <c r="Q120" i="11" s="1"/>
  <c r="B121" i="11" s="1"/>
  <c r="G121" i="11" s="1"/>
  <c r="B150" i="9"/>
  <c r="D150" i="9"/>
  <c r="E150" i="9" s="1"/>
  <c r="R120" i="11" l="1"/>
  <c r="C121" i="11" s="1"/>
  <c r="J121" i="11" s="1"/>
  <c r="K121" i="11" s="1"/>
  <c r="I150" i="9"/>
  <c r="J150" i="9" s="1"/>
  <c r="K150" i="9" s="1"/>
  <c r="L150" i="9" s="1"/>
  <c r="S120" i="11" l="1"/>
  <c r="D121" i="11" s="1"/>
  <c r="M121" i="11" s="1"/>
  <c r="N121" i="11" s="1"/>
  <c r="A151" i="9"/>
  <c r="M150" i="9"/>
  <c r="O121" i="11" l="1"/>
  <c r="Q121" i="11" s="1"/>
  <c r="B151" i="9"/>
  <c r="D151" i="9"/>
  <c r="E151" i="9" s="1"/>
  <c r="B122" i="11" l="1"/>
  <c r="G122" i="11" s="1"/>
  <c r="R121" i="11"/>
  <c r="C122" i="11" s="1"/>
  <c r="J122" i="11" s="1"/>
  <c r="I151" i="9"/>
  <c r="J151" i="9" s="1"/>
  <c r="K151" i="9" s="1"/>
  <c r="L151" i="9" s="1"/>
  <c r="S121" i="11" l="1"/>
  <c r="D122" i="11" s="1"/>
  <c r="K122" i="11"/>
  <c r="A152" i="9"/>
  <c r="M151" i="9"/>
  <c r="M122" i="11" l="1"/>
  <c r="N122" i="11" s="1"/>
  <c r="B152" i="9"/>
  <c r="D152" i="9"/>
  <c r="E152" i="9" s="1"/>
  <c r="O122" i="11" l="1"/>
  <c r="Q122" i="11" s="1"/>
  <c r="B123" i="11" s="1"/>
  <c r="G123" i="11" s="1"/>
  <c r="I152" i="9"/>
  <c r="J152" i="9" s="1"/>
  <c r="K152" i="9" s="1"/>
  <c r="L152" i="9" s="1"/>
  <c r="R122" i="11" l="1"/>
  <c r="C123" i="11" s="1"/>
  <c r="J123" i="11" s="1"/>
  <c r="K123" i="11" s="1"/>
  <c r="A153" i="9"/>
  <c r="M152" i="9"/>
  <c r="S122" i="11" l="1"/>
  <c r="D123" i="11" s="1"/>
  <c r="M123" i="11" s="1"/>
  <c r="N123" i="11" s="1"/>
  <c r="O123" i="11" s="1"/>
  <c r="Q123" i="11" s="1"/>
  <c r="D153" i="9"/>
  <c r="E153" i="9" s="1"/>
  <c r="B153" i="9"/>
  <c r="R123" i="11" l="1"/>
  <c r="C124" i="11" s="1"/>
  <c r="J124" i="11" s="1"/>
  <c r="B124" i="11"/>
  <c r="G124" i="11" s="1"/>
  <c r="I153" i="9"/>
  <c r="J153" i="9" s="1"/>
  <c r="K153" i="9" s="1"/>
  <c r="L153" i="9" s="1"/>
  <c r="S123" i="11" l="1"/>
  <c r="D124" i="11" s="1"/>
  <c r="K124" i="11"/>
  <c r="A154" i="9"/>
  <c r="M153" i="9"/>
  <c r="M124" i="11" l="1"/>
  <c r="N124" i="11" s="1"/>
  <c r="O124" i="11" s="1"/>
  <c r="Q124" i="11" s="1"/>
  <c r="D154" i="9"/>
  <c r="E154" i="9" s="1"/>
  <c r="B154" i="9"/>
  <c r="B125" i="11" l="1"/>
  <c r="G125" i="11" s="1"/>
  <c r="R124" i="11"/>
  <c r="C125" i="11" s="1"/>
  <c r="J125" i="11" s="1"/>
  <c r="I154" i="9"/>
  <c r="J154" i="9" s="1"/>
  <c r="K154" i="9" s="1"/>
  <c r="L154" i="9" s="1"/>
  <c r="A155" i="9" s="1"/>
  <c r="K125" i="11" l="1"/>
  <c r="S124" i="11"/>
  <c r="D125" i="11" s="1"/>
  <c r="M154" i="9"/>
  <c r="D155" i="9"/>
  <c r="E155" i="9" s="1"/>
  <c r="B155" i="9"/>
  <c r="M125" i="11" l="1"/>
  <c r="I155" i="9"/>
  <c r="J155" i="9" s="1"/>
  <c r="K155" i="9" s="1"/>
  <c r="L155" i="9" s="1"/>
  <c r="N125" i="11" l="1"/>
  <c r="O125" i="11" s="1"/>
  <c r="Q125" i="11" s="1"/>
  <c r="A156" i="9"/>
  <c r="M155" i="9"/>
  <c r="B126" i="11" l="1"/>
  <c r="G126" i="11" s="1"/>
  <c r="R125" i="11"/>
  <c r="C126" i="11" s="1"/>
  <c r="J126" i="11" s="1"/>
  <c r="B156" i="9"/>
  <c r="D156" i="9"/>
  <c r="E156" i="9" s="1"/>
  <c r="K126" i="11" l="1"/>
  <c r="S125" i="11"/>
  <c r="D126" i="11" s="1"/>
  <c r="I156" i="9"/>
  <c r="J156" i="9" s="1"/>
  <c r="K156" i="9" s="1"/>
  <c r="L156" i="9" s="1"/>
  <c r="M126" i="11" l="1"/>
  <c r="N126" i="11" s="1"/>
  <c r="O126" i="11" s="1"/>
  <c r="Q126" i="11" s="1"/>
  <c r="A157" i="9"/>
  <c r="M156" i="9"/>
  <c r="B127" i="11" l="1"/>
  <c r="G127" i="11" s="1"/>
  <c r="R126" i="11"/>
  <c r="C127" i="11" s="1"/>
  <c r="J127" i="11" s="1"/>
  <c r="D157" i="9"/>
  <c r="E157" i="9" s="1"/>
  <c r="B157" i="9"/>
  <c r="S126" i="11" l="1"/>
  <c r="D127" i="11" s="1"/>
  <c r="K127" i="11"/>
  <c r="I157" i="9"/>
  <c r="J157" i="9" s="1"/>
  <c r="K157" i="9" s="1"/>
  <c r="L157" i="9" s="1"/>
  <c r="M127" i="11" l="1"/>
  <c r="A158" i="9"/>
  <c r="M157" i="9"/>
  <c r="N127" i="11" l="1"/>
  <c r="O127" i="11" s="1"/>
  <c r="Q127" i="11" s="1"/>
  <c r="B158" i="9"/>
  <c r="D158" i="9"/>
  <c r="E158" i="9" s="1"/>
  <c r="B128" i="11" l="1"/>
  <c r="G128" i="11" s="1"/>
  <c r="R127" i="11"/>
  <c r="C128" i="11" s="1"/>
  <c r="J128" i="11" s="1"/>
  <c r="I158" i="9"/>
  <c r="J158" i="9" s="1"/>
  <c r="K158" i="9" s="1"/>
  <c r="L158" i="9" s="1"/>
  <c r="A159" i="9" s="1"/>
  <c r="K128" i="11" l="1"/>
  <c r="S127" i="11"/>
  <c r="D128" i="11" s="1"/>
  <c r="M158" i="9"/>
  <c r="B159" i="9"/>
  <c r="D159" i="9"/>
  <c r="E159" i="9" s="1"/>
  <c r="M128" i="11" l="1"/>
  <c r="N128" i="11" s="1"/>
  <c r="O128" i="11" s="1"/>
  <c r="Q128" i="11" s="1"/>
  <c r="I159" i="9"/>
  <c r="J159" i="9" s="1"/>
  <c r="K159" i="9" s="1"/>
  <c r="L159" i="9" s="1"/>
  <c r="B129" i="11" l="1"/>
  <c r="G129" i="11" s="1"/>
  <c r="R128" i="11"/>
  <c r="C129" i="11" s="1"/>
  <c r="J129" i="11" s="1"/>
  <c r="A160" i="9"/>
  <c r="M159" i="9"/>
  <c r="K129" i="11" l="1"/>
  <c r="S128" i="11"/>
  <c r="D129" i="11" s="1"/>
  <c r="B160" i="9"/>
  <c r="D160" i="9"/>
  <c r="E160" i="9" s="1"/>
  <c r="M129" i="11" l="1"/>
  <c r="N129" i="11" s="1"/>
  <c r="I160" i="9"/>
  <c r="J160" i="9" s="1"/>
  <c r="K160" i="9" s="1"/>
  <c r="L160" i="9" s="1"/>
  <c r="A161" i="9" s="1"/>
  <c r="O129" i="11" l="1"/>
  <c r="Q129" i="11" s="1"/>
  <c r="M160" i="9"/>
  <c r="D161" i="9"/>
  <c r="E161" i="9" s="1"/>
  <c r="B161" i="9"/>
  <c r="R129" i="11" l="1"/>
  <c r="C130" i="11" s="1"/>
  <c r="J130" i="11" s="1"/>
  <c r="B130" i="11"/>
  <c r="G130" i="11" s="1"/>
  <c r="I161" i="9"/>
  <c r="J161" i="9" s="1"/>
  <c r="S129" i="11" l="1"/>
  <c r="D130" i="11" s="1"/>
  <c r="K130" i="11"/>
  <c r="K161" i="9"/>
  <c r="L161" i="9" s="1"/>
  <c r="A162" i="9" s="1"/>
  <c r="M130" i="11" l="1"/>
  <c r="N130" i="11" s="1"/>
  <c r="O130" i="11" s="1"/>
  <c r="Q130" i="11" s="1"/>
  <c r="B131" i="11" s="1"/>
  <c r="G131" i="11" s="1"/>
  <c r="M161" i="9"/>
  <c r="B162" i="9"/>
  <c r="D162" i="9"/>
  <c r="E162" i="9" s="1"/>
  <c r="R130" i="11" l="1"/>
  <c r="C131" i="11" s="1"/>
  <c r="J131" i="11" s="1"/>
  <c r="K131" i="11" s="1"/>
  <c r="I162" i="9"/>
  <c r="J162" i="9" s="1"/>
  <c r="K162" i="9" s="1"/>
  <c r="L162" i="9" s="1"/>
  <c r="M162" i="9" s="1"/>
  <c r="S130" i="11" l="1"/>
  <c r="D131" i="11" s="1"/>
  <c r="M131" i="11" s="1"/>
  <c r="N131" i="11" s="1"/>
  <c r="A163" i="9"/>
  <c r="D163" i="9" s="1"/>
  <c r="E163" i="9" s="1"/>
  <c r="O131" i="11" l="1"/>
  <c r="Q131" i="11" s="1"/>
  <c r="B163" i="9"/>
  <c r="I163" i="9" s="1"/>
  <c r="J163" i="9" s="1"/>
  <c r="K163" i="9" s="1"/>
  <c r="L163" i="9" s="1"/>
  <c r="R131" i="11" l="1"/>
  <c r="C132" i="11" s="1"/>
  <c r="J132" i="11" s="1"/>
  <c r="B132" i="11"/>
  <c r="G132" i="11" s="1"/>
  <c r="A164" i="9"/>
  <c r="M163" i="9"/>
  <c r="S131" i="11" l="1"/>
  <c r="D132" i="11" s="1"/>
  <c r="K132" i="11"/>
  <c r="D164" i="9"/>
  <c r="E164" i="9" s="1"/>
  <c r="B164" i="9"/>
  <c r="M132" i="11" l="1"/>
  <c r="N132" i="11" s="1"/>
  <c r="O132" i="11" s="1"/>
  <c r="I164" i="9"/>
  <c r="J164" i="9" s="1"/>
  <c r="K164" i="9" s="1"/>
  <c r="L164" i="9" s="1"/>
  <c r="Q132" i="11" l="1"/>
  <c r="R132" i="11"/>
  <c r="C133" i="11" s="1"/>
  <c r="J133" i="11" s="1"/>
  <c r="A165" i="9"/>
  <c r="M164" i="9"/>
  <c r="B133" i="11" l="1"/>
  <c r="G133" i="11" s="1"/>
  <c r="K133" i="11" s="1"/>
  <c r="S132" i="11"/>
  <c r="D133" i="11" s="1"/>
  <c r="D165" i="9"/>
  <c r="E165" i="9" s="1"/>
  <c r="B165" i="9"/>
  <c r="M133" i="11" l="1"/>
  <c r="N133" i="11" s="1"/>
  <c r="I165" i="9"/>
  <c r="O133" i="11" l="1"/>
  <c r="Q133" i="11" s="1"/>
  <c r="B134" i="11" s="1"/>
  <c r="G134" i="11" s="1"/>
  <c r="J165" i="9"/>
  <c r="K165" i="9" s="1"/>
  <c r="L165" i="9" s="1"/>
  <c r="R133" i="11" l="1"/>
  <c r="C134" i="11" s="1"/>
  <c r="J134" i="11" s="1"/>
  <c r="K134" i="11" s="1"/>
  <c r="A166" i="9"/>
  <c r="M165" i="9"/>
  <c r="S133" i="11" l="1"/>
  <c r="D134" i="11" s="1"/>
  <c r="M134" i="11" s="1"/>
  <c r="N134" i="11" s="1"/>
  <c r="D166" i="9"/>
  <c r="E166" i="9" s="1"/>
  <c r="B166" i="9"/>
  <c r="O134" i="11" l="1"/>
  <c r="Q134" i="11" s="1"/>
  <c r="B135" i="11" s="1"/>
  <c r="G135" i="11" s="1"/>
  <c r="I166" i="9"/>
  <c r="J166" i="9" s="1"/>
  <c r="K166" i="9" s="1"/>
  <c r="L166" i="9" s="1"/>
  <c r="R134" i="11" l="1"/>
  <c r="C135" i="11" s="1"/>
  <c r="J135" i="11" s="1"/>
  <c r="K135" i="11" s="1"/>
  <c r="A167" i="9"/>
  <c r="M166" i="9"/>
  <c r="S134" i="11" l="1"/>
  <c r="D135" i="11" s="1"/>
  <c r="M135" i="11" s="1"/>
  <c r="N135" i="11" s="1"/>
  <c r="D167" i="9"/>
  <c r="E167" i="9" s="1"/>
  <c r="B167" i="9"/>
  <c r="O135" i="11" l="1"/>
  <c r="Q135" i="11" s="1"/>
  <c r="B136" i="11" s="1"/>
  <c r="G136" i="11" s="1"/>
  <c r="I167" i="9"/>
  <c r="J167" i="9" s="1"/>
  <c r="K167" i="9" s="1"/>
  <c r="L167" i="9" s="1"/>
  <c r="A168" i="9" s="1"/>
  <c r="R135" i="11" l="1"/>
  <c r="C136" i="11" s="1"/>
  <c r="J136" i="11" s="1"/>
  <c r="K136" i="11" s="1"/>
  <c r="M167" i="9"/>
  <c r="B168" i="9"/>
  <c r="D168" i="9"/>
  <c r="E168" i="9" s="1"/>
  <c r="S135" i="11" l="1"/>
  <c r="D136" i="11" s="1"/>
  <c r="M136" i="11" s="1"/>
  <c r="I168" i="9"/>
  <c r="J168" i="9" s="1"/>
  <c r="K168" i="9" s="1"/>
  <c r="L168" i="9" s="1"/>
  <c r="N136" i="11" l="1"/>
  <c r="O136" i="11" s="1"/>
  <c r="Q136" i="11" s="1"/>
  <c r="B137" i="11" s="1"/>
  <c r="G137" i="11" s="1"/>
  <c r="A169" i="9"/>
  <c r="M168" i="9"/>
  <c r="R136" i="11" l="1"/>
  <c r="C137" i="11" s="1"/>
  <c r="J137" i="11" s="1"/>
  <c r="K137" i="11" s="1"/>
  <c r="B169" i="9"/>
  <c r="D169" i="9"/>
  <c r="E169" i="9" s="1"/>
  <c r="S136" i="11" l="1"/>
  <c r="D137" i="11" s="1"/>
  <c r="M137" i="11" s="1"/>
  <c r="I169" i="9"/>
  <c r="J169" i="9" s="1"/>
  <c r="K169" i="9" s="1"/>
  <c r="L169" i="9" s="1"/>
  <c r="A170" i="9" s="1"/>
  <c r="N137" i="11" l="1"/>
  <c r="O137" i="11" s="1"/>
  <c r="Q137" i="11" s="1"/>
  <c r="B138" i="11" s="1"/>
  <c r="G138" i="11" s="1"/>
  <c r="M169" i="9"/>
  <c r="D170" i="9"/>
  <c r="E170" i="9" s="1"/>
  <c r="B170" i="9"/>
  <c r="R137" i="11" l="1"/>
  <c r="C138" i="11" s="1"/>
  <c r="J138" i="11" s="1"/>
  <c r="K138" i="11" s="1"/>
  <c r="I170" i="9"/>
  <c r="J170" i="9" s="1"/>
  <c r="K170" i="9" s="1"/>
  <c r="L170" i="9" s="1"/>
  <c r="A171" i="9" s="1"/>
  <c r="S137" i="11" l="1"/>
  <c r="D138" i="11" s="1"/>
  <c r="M138" i="11" s="1"/>
  <c r="N138" i="11" s="1"/>
  <c r="M170" i="9"/>
  <c r="B171" i="9"/>
  <c r="D171" i="9"/>
  <c r="E171" i="9" s="1"/>
  <c r="O138" i="11" l="1"/>
  <c r="Q138" i="11" s="1"/>
  <c r="I171" i="9"/>
  <c r="J171" i="9" s="1"/>
  <c r="K171" i="9" s="1"/>
  <c r="L171" i="9" s="1"/>
  <c r="M171" i="9" s="1"/>
  <c r="R138" i="11" l="1"/>
  <c r="C139" i="11" s="1"/>
  <c r="J139" i="11" s="1"/>
  <c r="B139" i="11"/>
  <c r="G139" i="11" s="1"/>
  <c r="A172" i="9"/>
  <c r="B172" i="9" s="1"/>
  <c r="S138" i="11" l="1"/>
  <c r="D139" i="11" s="1"/>
  <c r="K139" i="11"/>
  <c r="D172" i="9"/>
  <c r="E172" i="9" s="1"/>
  <c r="I172" i="9" s="1"/>
  <c r="J172" i="9" s="1"/>
  <c r="K172" i="9" s="1"/>
  <c r="L172" i="9" s="1"/>
  <c r="M139" i="11" l="1"/>
  <c r="A173" i="9"/>
  <c r="M172" i="9"/>
  <c r="N139" i="11" l="1"/>
  <c r="D173" i="9"/>
  <c r="E173" i="9" s="1"/>
  <c r="B173" i="9"/>
  <c r="O139" i="11" l="1"/>
  <c r="Q139" i="11" s="1"/>
  <c r="I173" i="9"/>
  <c r="J173" i="9" s="1"/>
  <c r="K173" i="9" s="1"/>
  <c r="L173" i="9" s="1"/>
  <c r="A174" i="9" s="1"/>
  <c r="R139" i="11" l="1"/>
  <c r="C140" i="11" s="1"/>
  <c r="J140" i="11" s="1"/>
  <c r="B140" i="11"/>
  <c r="G140" i="11" s="1"/>
  <c r="M173" i="9"/>
  <c r="B174" i="9"/>
  <c r="D174" i="9"/>
  <c r="E174" i="9" s="1"/>
  <c r="S139" i="11" l="1"/>
  <c r="D140" i="11" s="1"/>
  <c r="K140" i="11"/>
  <c r="I174" i="9"/>
  <c r="J174" i="9" s="1"/>
  <c r="K174" i="9" s="1"/>
  <c r="L174" i="9" s="1"/>
  <c r="M174" i="9" s="1"/>
  <c r="M140" i="11" l="1"/>
  <c r="N140" i="11" s="1"/>
  <c r="A175" i="9"/>
  <c r="D175" i="9" s="1"/>
  <c r="E175" i="9" s="1"/>
  <c r="O140" i="11" l="1"/>
  <c r="Q140" i="11" s="1"/>
  <c r="B141" i="11" s="1"/>
  <c r="G141" i="11" s="1"/>
  <c r="B175" i="9"/>
  <c r="I175" i="9" s="1"/>
  <c r="J175" i="9" s="1"/>
  <c r="K175" i="9" s="1"/>
  <c r="L175" i="9" s="1"/>
  <c r="A176" i="9" s="1"/>
  <c r="R140" i="11" l="1"/>
  <c r="C141" i="11" s="1"/>
  <c r="J141" i="11" s="1"/>
  <c r="K141" i="11" s="1"/>
  <c r="M175" i="9"/>
  <c r="B176" i="9"/>
  <c r="D176" i="9"/>
  <c r="E176" i="9" s="1"/>
  <c r="S140" i="11" l="1"/>
  <c r="D141" i="11" s="1"/>
  <c r="M141" i="11" s="1"/>
  <c r="N141" i="11" s="1"/>
  <c r="I176" i="9"/>
  <c r="J176" i="9" s="1"/>
  <c r="K176" i="9" s="1"/>
  <c r="L176" i="9" s="1"/>
  <c r="A177" i="9" s="1"/>
  <c r="O141" i="11" l="1"/>
  <c r="Q141" i="11" s="1"/>
  <c r="B142" i="11" s="1"/>
  <c r="G142" i="11" s="1"/>
  <c r="M176" i="9"/>
  <c r="D177" i="9"/>
  <c r="E177" i="9" s="1"/>
  <c r="B177" i="9"/>
  <c r="R141" i="11" l="1"/>
  <c r="C142" i="11" s="1"/>
  <c r="J142" i="11" s="1"/>
  <c r="K142" i="11" s="1"/>
  <c r="I177" i="9"/>
  <c r="S141" i="11" l="1"/>
  <c r="D142" i="11" s="1"/>
  <c r="M142" i="11" s="1"/>
  <c r="N142" i="11" s="1"/>
  <c r="O142" i="11" s="1"/>
  <c r="J177" i="9"/>
  <c r="K177" i="9" s="1"/>
  <c r="L177" i="9" s="1"/>
  <c r="R142" i="11" l="1"/>
  <c r="C143" i="11" s="1"/>
  <c r="J143" i="11" s="1"/>
  <c r="Q142" i="11"/>
  <c r="B143" i="11" s="1"/>
  <c r="G143" i="11" s="1"/>
  <c r="A178" i="9"/>
  <c r="M177" i="9"/>
  <c r="K143" i="11" l="1"/>
  <c r="S142" i="11"/>
  <c r="D143" i="11" s="1"/>
  <c r="B178" i="9"/>
  <c r="D178" i="9"/>
  <c r="E178" i="9" s="1"/>
  <c r="M143" i="11" l="1"/>
  <c r="N143" i="11" s="1"/>
  <c r="I178" i="9"/>
  <c r="J178" i="9" s="1"/>
  <c r="K178" i="9" s="1"/>
  <c r="L178" i="9" s="1"/>
  <c r="A179" i="9" s="1"/>
  <c r="O143" i="11" l="1"/>
  <c r="Q143" i="11" s="1"/>
  <c r="M178" i="9"/>
  <c r="D179" i="9"/>
  <c r="E179" i="9" s="1"/>
  <c r="B179" i="9"/>
  <c r="R143" i="11" l="1"/>
  <c r="C144" i="11" s="1"/>
  <c r="J144" i="11" s="1"/>
  <c r="B144" i="11"/>
  <c r="G144" i="11" s="1"/>
  <c r="I179" i="9"/>
  <c r="J179" i="9" s="1"/>
  <c r="K179" i="9" s="1"/>
  <c r="L179" i="9" s="1"/>
  <c r="S143" i="11" l="1"/>
  <c r="D144" i="11" s="1"/>
  <c r="K144" i="11"/>
  <c r="A180" i="9"/>
  <c r="M179" i="9"/>
  <c r="M144" i="11" l="1"/>
  <c r="N144" i="11" s="1"/>
  <c r="B180" i="9"/>
  <c r="D180" i="9"/>
  <c r="E180" i="9" s="1"/>
  <c r="O144" i="11" l="1"/>
  <c r="Q144" i="11" s="1"/>
  <c r="B145" i="11" s="1"/>
  <c r="G145" i="11" s="1"/>
  <c r="I180" i="9"/>
  <c r="J180" i="9" s="1"/>
  <c r="K180" i="9" s="1"/>
  <c r="L180" i="9" s="1"/>
  <c r="A181" i="9" s="1"/>
  <c r="R144" i="11" l="1"/>
  <c r="C145" i="11" s="1"/>
  <c r="J145" i="11" s="1"/>
  <c r="K145" i="11" s="1"/>
  <c r="M180" i="9"/>
  <c r="B181" i="9"/>
  <c r="D181" i="9"/>
  <c r="E181" i="9" s="1"/>
  <c r="S144" i="11" l="1"/>
  <c r="D145" i="11" s="1"/>
  <c r="M145" i="11" s="1"/>
  <c r="N145" i="11" s="1"/>
  <c r="I181" i="9"/>
  <c r="J181" i="9" s="1"/>
  <c r="K181" i="9" s="1"/>
  <c r="L181" i="9" s="1"/>
  <c r="A182" i="9" s="1"/>
  <c r="O145" i="11" l="1"/>
  <c r="Q145" i="11" s="1"/>
  <c r="B146" i="11" s="1"/>
  <c r="G146" i="11" s="1"/>
  <c r="M181" i="9"/>
  <c r="D182" i="9"/>
  <c r="E182" i="9" s="1"/>
  <c r="B182" i="9"/>
  <c r="R145" i="11" l="1"/>
  <c r="C146" i="11" s="1"/>
  <c r="J146" i="11" s="1"/>
  <c r="K146" i="11" s="1"/>
  <c r="I182" i="9"/>
  <c r="J182" i="9" s="1"/>
  <c r="S145" i="11" l="1"/>
  <c r="D146" i="11" s="1"/>
  <c r="M146" i="11" s="1"/>
  <c r="N146" i="11" s="1"/>
  <c r="O146" i="11" s="1"/>
  <c r="Q146" i="11" s="1"/>
  <c r="B147" i="11" s="1"/>
  <c r="G147" i="11" s="1"/>
  <c r="K182" i="9"/>
  <c r="L182" i="9" s="1"/>
  <c r="A183" i="9" s="1"/>
  <c r="R146" i="11" l="1"/>
  <c r="C147" i="11" s="1"/>
  <c r="J147" i="11" s="1"/>
  <c r="K147" i="11" s="1"/>
  <c r="M182" i="9"/>
  <c r="D183" i="9"/>
  <c r="E183" i="9" s="1"/>
  <c r="B183" i="9"/>
  <c r="S146" i="11" l="1"/>
  <c r="D147" i="11" s="1"/>
  <c r="M147" i="11" s="1"/>
  <c r="N147" i="11" s="1"/>
  <c r="I183" i="9"/>
  <c r="O147" i="11" l="1"/>
  <c r="Q147" i="11" s="1"/>
  <c r="B148" i="11" s="1"/>
  <c r="G148" i="11" s="1"/>
  <c r="J183" i="9"/>
  <c r="K183" i="9" s="1"/>
  <c r="L183" i="9" s="1"/>
  <c r="R147" i="11" l="1"/>
  <c r="C148" i="11" s="1"/>
  <c r="J148" i="11" s="1"/>
  <c r="K148" i="11" s="1"/>
  <c r="A184" i="9"/>
  <c r="M183" i="9"/>
  <c r="S147" i="11" l="1"/>
  <c r="D148" i="11" s="1"/>
  <c r="M148" i="11" s="1"/>
  <c r="N148" i="11" s="1"/>
  <c r="B184" i="9"/>
  <c r="D184" i="9"/>
  <c r="E184" i="9" s="1"/>
  <c r="O148" i="11" l="1"/>
  <c r="Q148" i="11" s="1"/>
  <c r="B149" i="11" s="1"/>
  <c r="G149" i="11" s="1"/>
  <c r="I184" i="9"/>
  <c r="J184" i="9" s="1"/>
  <c r="K184" i="9" s="1"/>
  <c r="L184" i="9" s="1"/>
  <c r="A185" i="9" s="1"/>
  <c r="R148" i="11" l="1"/>
  <c r="C149" i="11" s="1"/>
  <c r="J149" i="11" s="1"/>
  <c r="K149" i="11" s="1"/>
  <c r="M184" i="9"/>
  <c r="D185" i="9"/>
  <c r="E185" i="9" s="1"/>
  <c r="B185" i="9"/>
  <c r="S148" i="11" l="1"/>
  <c r="D149" i="11" s="1"/>
  <c r="M149" i="11" s="1"/>
  <c r="N149" i="11" s="1"/>
  <c r="O149" i="11" s="1"/>
  <c r="Q149" i="11" s="1"/>
  <c r="I185" i="9"/>
  <c r="J185" i="9" s="1"/>
  <c r="K185" i="9" s="1"/>
  <c r="L185" i="9" s="1"/>
  <c r="B150" i="11" l="1"/>
  <c r="G150" i="11" s="1"/>
  <c r="R149" i="11"/>
  <c r="C150" i="11" s="1"/>
  <c r="J150" i="11" s="1"/>
  <c r="A186" i="9"/>
  <c r="M185" i="9"/>
  <c r="K150" i="11" l="1"/>
  <c r="S149" i="11"/>
  <c r="D150" i="11" s="1"/>
  <c r="D186" i="9"/>
  <c r="E186" i="9" s="1"/>
  <c r="B186" i="9"/>
  <c r="M150" i="11" l="1"/>
  <c r="I186" i="9"/>
  <c r="J186" i="9" s="1"/>
  <c r="K186" i="9" s="1"/>
  <c r="L186" i="9" s="1"/>
  <c r="N150" i="11" l="1"/>
  <c r="O150" i="11" s="1"/>
  <c r="Q150" i="11" s="1"/>
  <c r="A187" i="9"/>
  <c r="M186" i="9"/>
  <c r="B151" i="11" l="1"/>
  <c r="G151" i="11" s="1"/>
  <c r="R150" i="11"/>
  <c r="C151" i="11" s="1"/>
  <c r="J151" i="11" s="1"/>
  <c r="D187" i="9"/>
  <c r="E187" i="9" s="1"/>
  <c r="B187" i="9"/>
  <c r="K151" i="11" l="1"/>
  <c r="S150" i="11"/>
  <c r="D151" i="11" s="1"/>
  <c r="I187" i="9"/>
  <c r="J187" i="9" s="1"/>
  <c r="K187" i="9" s="1"/>
  <c r="L187" i="9" s="1"/>
  <c r="A188" i="9" s="1"/>
  <c r="M151" i="11" l="1"/>
  <c r="N151" i="11" s="1"/>
  <c r="M187" i="9"/>
  <c r="B188" i="9"/>
  <c r="D188" i="9"/>
  <c r="E188" i="9" s="1"/>
  <c r="O151" i="11" l="1"/>
  <c r="Q151" i="11" s="1"/>
  <c r="B152" i="11" s="1"/>
  <c r="G152" i="11" s="1"/>
  <c r="I188" i="9"/>
  <c r="J188" i="9" s="1"/>
  <c r="K188" i="9" s="1"/>
  <c r="L188" i="9" s="1"/>
  <c r="A189" i="9" s="1"/>
  <c r="R151" i="11" l="1"/>
  <c r="S151" i="11" s="1"/>
  <c r="D152" i="11" s="1"/>
  <c r="M188" i="9"/>
  <c r="B189" i="9"/>
  <c r="D189" i="9"/>
  <c r="E189" i="9" s="1"/>
  <c r="C152" i="11" l="1"/>
  <c r="J152" i="11" s="1"/>
  <c r="K152" i="11" s="1"/>
  <c r="M152" i="11" s="1"/>
  <c r="N152" i="11" s="1"/>
  <c r="I189" i="9"/>
  <c r="J189" i="9" s="1"/>
  <c r="K189" i="9" s="1"/>
  <c r="L189" i="9" s="1"/>
  <c r="M189" i="9" s="1"/>
  <c r="O152" i="11" l="1"/>
  <c r="Q152" i="11" s="1"/>
  <c r="B153" i="11" s="1"/>
  <c r="G153" i="11" s="1"/>
  <c r="A190" i="9"/>
  <c r="D190" i="9" s="1"/>
  <c r="E190" i="9" s="1"/>
  <c r="R152" i="11" l="1"/>
  <c r="C153" i="11" s="1"/>
  <c r="J153" i="11" s="1"/>
  <c r="K153" i="11" s="1"/>
  <c r="B190" i="9"/>
  <c r="I190" i="9" s="1"/>
  <c r="J190" i="9" s="1"/>
  <c r="K190" i="9" s="1"/>
  <c r="L190" i="9" s="1"/>
  <c r="A191" i="9" s="1"/>
  <c r="S152" i="11" l="1"/>
  <c r="D153" i="11" s="1"/>
  <c r="M153" i="11" s="1"/>
  <c r="N153" i="11" s="1"/>
  <c r="M190" i="9"/>
  <c r="D191" i="9"/>
  <c r="E191" i="9" s="1"/>
  <c r="B191" i="9"/>
  <c r="O153" i="11" l="1"/>
  <c r="Q153" i="11" s="1"/>
  <c r="I191" i="9"/>
  <c r="R153" i="11" l="1"/>
  <c r="C154" i="11" s="1"/>
  <c r="J154" i="11" s="1"/>
  <c r="B154" i="11"/>
  <c r="G154" i="11" s="1"/>
  <c r="J191" i="9"/>
  <c r="K191" i="9" s="1"/>
  <c r="L191" i="9" s="1"/>
  <c r="S153" i="11" l="1"/>
  <c r="D154" i="11" s="1"/>
  <c r="K154" i="11"/>
  <c r="A192" i="9"/>
  <c r="M191" i="9"/>
  <c r="M154" i="11" l="1"/>
  <c r="N154" i="11" s="1"/>
  <c r="O154" i="11" s="1"/>
  <c r="Q154" i="11" s="1"/>
  <c r="D192" i="9"/>
  <c r="E192" i="9" s="1"/>
  <c r="B192" i="9"/>
  <c r="B155" i="11" l="1"/>
  <c r="G155" i="11" s="1"/>
  <c r="R154" i="11"/>
  <c r="C155" i="11" s="1"/>
  <c r="J155" i="11" s="1"/>
  <c r="I192" i="9"/>
  <c r="J192" i="9" s="1"/>
  <c r="K192" i="9" s="1"/>
  <c r="L192" i="9" s="1"/>
  <c r="S154" i="11" l="1"/>
  <c r="D155" i="11" s="1"/>
  <c r="K155" i="11"/>
  <c r="A193" i="9"/>
  <c r="M192" i="9"/>
  <c r="M155" i="11" l="1"/>
  <c r="N155" i="11" s="1"/>
  <c r="B193" i="9"/>
  <c r="D193" i="9"/>
  <c r="E193" i="9" s="1"/>
  <c r="O155" i="11" l="1"/>
  <c r="Q155" i="11" s="1"/>
  <c r="I193" i="9"/>
  <c r="J193" i="9" s="1"/>
  <c r="K193" i="9" s="1"/>
  <c r="L193" i="9" s="1"/>
  <c r="M193" i="9" s="1"/>
  <c r="B156" i="11" l="1"/>
  <c r="G156" i="11" s="1"/>
  <c r="R155" i="11"/>
  <c r="C156" i="11" s="1"/>
  <c r="J156" i="11" s="1"/>
  <c r="A194" i="9"/>
  <c r="B194" i="9" s="1"/>
  <c r="K156" i="11" l="1"/>
  <c r="S155" i="11"/>
  <c r="D156" i="11" s="1"/>
  <c r="D194" i="9"/>
  <c r="E194" i="9" s="1"/>
  <c r="I194" i="9" s="1"/>
  <c r="J194" i="9" s="1"/>
  <c r="K194" i="9" s="1"/>
  <c r="L194" i="9" s="1"/>
  <c r="M156" i="11" l="1"/>
  <c r="N156" i="11" s="1"/>
  <c r="O156" i="11" s="1"/>
  <c r="Q156" i="11" s="1"/>
  <c r="A195" i="9"/>
  <c r="M194" i="9"/>
  <c r="B157" i="11" l="1"/>
  <c r="G157" i="11" s="1"/>
  <c r="R156" i="11"/>
  <c r="C157" i="11" s="1"/>
  <c r="J157" i="11" s="1"/>
  <c r="B195" i="9"/>
  <c r="D195" i="9"/>
  <c r="E195" i="9" s="1"/>
  <c r="S156" i="11" l="1"/>
  <c r="D157" i="11" s="1"/>
  <c r="K157" i="11"/>
  <c r="I195" i="9"/>
  <c r="J195" i="9" s="1"/>
  <c r="K195" i="9" s="1"/>
  <c r="L195" i="9" s="1"/>
  <c r="A196" i="9" s="1"/>
  <c r="M157" i="11" l="1"/>
  <c r="N157" i="11" s="1"/>
  <c r="M195" i="9"/>
  <c r="B196" i="9"/>
  <c r="D196" i="9"/>
  <c r="E196" i="9" s="1"/>
  <c r="O157" i="11" l="1"/>
  <c r="Q157" i="11" s="1"/>
  <c r="I196" i="9"/>
  <c r="B158" i="11" l="1"/>
  <c r="G158" i="11" s="1"/>
  <c r="R157" i="11"/>
  <c r="C158" i="11" s="1"/>
  <c r="J158" i="11" s="1"/>
  <c r="J196" i="9"/>
  <c r="K196" i="9" s="1"/>
  <c r="L196" i="9" s="1"/>
  <c r="K158" i="11" l="1"/>
  <c r="S157" i="11"/>
  <c r="D158" i="11" s="1"/>
  <c r="A197" i="9"/>
  <c r="M196" i="9"/>
  <c r="M158" i="11" l="1"/>
  <c r="B197" i="9"/>
  <c r="D197" i="9"/>
  <c r="E197" i="9" s="1"/>
  <c r="N158" i="11" l="1"/>
  <c r="O158" i="11" s="1"/>
  <c r="Q158" i="11" s="1"/>
  <c r="B159" i="11" s="1"/>
  <c r="G159" i="11" s="1"/>
  <c r="I197" i="9"/>
  <c r="J197" i="9" s="1"/>
  <c r="K197" i="9" s="1"/>
  <c r="L197" i="9" s="1"/>
  <c r="A198" i="9" s="1"/>
  <c r="R158" i="11" l="1"/>
  <c r="C159" i="11" s="1"/>
  <c r="J159" i="11" s="1"/>
  <c r="K159" i="11" s="1"/>
  <c r="M197" i="9"/>
  <c r="D198" i="9"/>
  <c r="E198" i="9" s="1"/>
  <c r="B198" i="9"/>
  <c r="S158" i="11" l="1"/>
  <c r="D159" i="11" s="1"/>
  <c r="M159" i="11" s="1"/>
  <c r="I198" i="9"/>
  <c r="N159" i="11" l="1"/>
  <c r="O159" i="11" s="1"/>
  <c r="Q159" i="11" s="1"/>
  <c r="J198" i="9"/>
  <c r="K198" i="9" s="1"/>
  <c r="L198" i="9" s="1"/>
  <c r="B160" i="11" l="1"/>
  <c r="G160" i="11" s="1"/>
  <c r="R159" i="11"/>
  <c r="C160" i="11" s="1"/>
  <c r="J160" i="11" s="1"/>
  <c r="A199" i="9"/>
  <c r="M198" i="9"/>
  <c r="K160" i="11" l="1"/>
  <c r="S159" i="11"/>
  <c r="D160" i="11" s="1"/>
  <c r="B199" i="9"/>
  <c r="D199" i="9"/>
  <c r="E199" i="9" s="1"/>
  <c r="M160" i="11" l="1"/>
  <c r="N160" i="11" s="1"/>
  <c r="I199" i="9"/>
  <c r="J199" i="9" s="1"/>
  <c r="K199" i="9" s="1"/>
  <c r="L199" i="9" s="1"/>
  <c r="A200" i="9" s="1"/>
  <c r="O160" i="11" l="1"/>
  <c r="Q160" i="11" s="1"/>
  <c r="M199" i="9"/>
  <c r="B200" i="9"/>
  <c r="D200" i="9"/>
  <c r="E200" i="9" s="1"/>
  <c r="B161" i="11" l="1"/>
  <c r="G161" i="11" s="1"/>
  <c r="R160" i="11"/>
  <c r="C161" i="11" s="1"/>
  <c r="J161" i="11" s="1"/>
  <c r="I200" i="9"/>
  <c r="J200" i="9" s="1"/>
  <c r="K200" i="9" s="1"/>
  <c r="L200" i="9" s="1"/>
  <c r="A201" i="9" s="1"/>
  <c r="K161" i="11" l="1"/>
  <c r="S160" i="11"/>
  <c r="D161" i="11" s="1"/>
  <c r="M200" i="9"/>
  <c r="D201" i="9"/>
  <c r="E201" i="9" s="1"/>
  <c r="B201" i="9"/>
  <c r="M161" i="11" l="1"/>
  <c r="N161" i="11" s="1"/>
  <c r="I201" i="9"/>
  <c r="J201" i="9" s="1"/>
  <c r="K201" i="9" s="1"/>
  <c r="L201" i="9" s="1"/>
  <c r="O161" i="11" l="1"/>
  <c r="Q161" i="11" s="1"/>
  <c r="A202" i="9"/>
  <c r="M201" i="9"/>
  <c r="B162" i="11" l="1"/>
  <c r="G162" i="11" s="1"/>
  <c r="R161" i="11"/>
  <c r="C162" i="11" s="1"/>
  <c r="J162" i="11" s="1"/>
  <c r="D202" i="9"/>
  <c r="E202" i="9" s="1"/>
  <c r="B202" i="9"/>
  <c r="K162" i="11" l="1"/>
  <c r="S161" i="11"/>
  <c r="D162" i="11" s="1"/>
  <c r="I202" i="9"/>
  <c r="M162" i="11" l="1"/>
  <c r="J202" i="9"/>
  <c r="K202" i="9" s="1"/>
  <c r="L202" i="9" s="1"/>
  <c r="N162" i="11" l="1"/>
  <c r="O162" i="11" s="1"/>
  <c r="Q162" i="11" s="1"/>
  <c r="A203" i="9"/>
  <c r="M202" i="9"/>
  <c r="B163" i="11" l="1"/>
  <c r="G163" i="11" s="1"/>
  <c r="R162" i="11"/>
  <c r="C163" i="11" s="1"/>
  <c r="J163" i="11" s="1"/>
  <c r="B203" i="9"/>
  <c r="D203" i="9"/>
  <c r="E203" i="9" s="1"/>
  <c r="S162" i="11" l="1"/>
  <c r="D163" i="11" s="1"/>
  <c r="K163" i="11"/>
  <c r="I203" i="9"/>
  <c r="J203" i="9" s="1"/>
  <c r="K203" i="9" s="1"/>
  <c r="L203" i="9" s="1"/>
  <c r="A204" i="9" s="1"/>
  <c r="M163" i="11" l="1"/>
  <c r="N163" i="11" s="1"/>
  <c r="M203" i="9"/>
  <c r="D204" i="9"/>
  <c r="E204" i="9" s="1"/>
  <c r="B204" i="9"/>
  <c r="O163" i="11" l="1"/>
  <c r="Q163" i="11" s="1"/>
  <c r="B164" i="11" s="1"/>
  <c r="G164" i="11" s="1"/>
  <c r="I204" i="9"/>
  <c r="J204" i="9" s="1"/>
  <c r="K204" i="9" s="1"/>
  <c r="L204" i="9" s="1"/>
  <c r="R163" i="11" l="1"/>
  <c r="C164" i="11" s="1"/>
  <c r="J164" i="11" s="1"/>
  <c r="K164" i="11" s="1"/>
  <c r="A205" i="9"/>
  <c r="M204" i="9"/>
  <c r="S163" i="11" l="1"/>
  <c r="D164" i="11" s="1"/>
  <c r="M164" i="11" s="1"/>
  <c r="N164" i="11" s="1"/>
  <c r="B205" i="9"/>
  <c r="D205" i="9"/>
  <c r="E205" i="9" s="1"/>
  <c r="O164" i="11" l="1"/>
  <c r="Q164" i="11" s="1"/>
  <c r="B165" i="11" s="1"/>
  <c r="G165" i="11" s="1"/>
  <c r="I205" i="9"/>
  <c r="J205" i="9" s="1"/>
  <c r="K205" i="9" s="1"/>
  <c r="L205" i="9" s="1"/>
  <c r="A206" i="9" s="1"/>
  <c r="R164" i="11" l="1"/>
  <c r="C165" i="11" s="1"/>
  <c r="J165" i="11" s="1"/>
  <c r="K165" i="11" s="1"/>
  <c r="M205" i="9"/>
  <c r="B206" i="9"/>
  <c r="D206" i="9"/>
  <c r="E206" i="9" s="1"/>
  <c r="S164" i="11" l="1"/>
  <c r="D165" i="11" s="1"/>
  <c r="M165" i="11" s="1"/>
  <c r="I206" i="9"/>
  <c r="J206" i="9" s="1"/>
  <c r="K206" i="9" s="1"/>
  <c r="L206" i="9" s="1"/>
  <c r="M206" i="9" s="1"/>
  <c r="N165" i="11" l="1"/>
  <c r="O165" i="11" s="1"/>
  <c r="Q165" i="11" s="1"/>
  <c r="A207" i="9"/>
  <c r="D207" i="9" s="1"/>
  <c r="E207" i="9" s="1"/>
  <c r="B166" i="11" l="1"/>
  <c r="G166" i="11" s="1"/>
  <c r="R165" i="11"/>
  <c r="C166" i="11" s="1"/>
  <c r="J166" i="11" s="1"/>
  <c r="K166" i="11" s="1"/>
  <c r="B207" i="9"/>
  <c r="I207" i="9" s="1"/>
  <c r="J207" i="9" s="1"/>
  <c r="K207" i="9" s="1"/>
  <c r="L207" i="9" s="1"/>
  <c r="M207" i="9" s="1"/>
  <c r="S165" i="11" l="1"/>
  <c r="D166" i="11" s="1"/>
  <c r="M166" i="11" s="1"/>
  <c r="A208" i="9"/>
  <c r="D208" i="9" s="1"/>
  <c r="E208" i="9" s="1"/>
  <c r="N166" i="11" l="1"/>
  <c r="O166" i="11" s="1"/>
  <c r="Q166" i="11" s="1"/>
  <c r="B208" i="9"/>
  <c r="I208" i="9" s="1"/>
  <c r="J208" i="9" s="1"/>
  <c r="K208" i="9" s="1"/>
  <c r="L208" i="9" s="1"/>
  <c r="A209" i="9" s="1"/>
  <c r="B167" i="11" l="1"/>
  <c r="G167" i="11" s="1"/>
  <c r="R166" i="11"/>
  <c r="C167" i="11" s="1"/>
  <c r="J167" i="11" s="1"/>
  <c r="M208" i="9"/>
  <c r="B209" i="9"/>
  <c r="D209" i="9"/>
  <c r="E209" i="9" s="1"/>
  <c r="S166" i="11" l="1"/>
  <c r="D167" i="11" s="1"/>
  <c r="K167" i="11"/>
  <c r="I209" i="9"/>
  <c r="J209" i="9" s="1"/>
  <c r="K209" i="9" s="1"/>
  <c r="L209" i="9" s="1"/>
  <c r="A210" i="9" s="1"/>
  <c r="M167" i="11" l="1"/>
  <c r="N167" i="11" s="1"/>
  <c r="M209" i="9"/>
  <c r="B210" i="9"/>
  <c r="D210" i="9"/>
  <c r="E210" i="9" s="1"/>
  <c r="O167" i="11" l="1"/>
  <c r="Q167" i="11" s="1"/>
  <c r="B168" i="11" s="1"/>
  <c r="G168" i="11" s="1"/>
  <c r="I210" i="9"/>
  <c r="J210" i="9" s="1"/>
  <c r="K210" i="9" s="1"/>
  <c r="L210" i="9" s="1"/>
  <c r="A211" i="9" s="1"/>
  <c r="R167" i="11" l="1"/>
  <c r="C168" i="11" s="1"/>
  <c r="J168" i="11" s="1"/>
  <c r="K168" i="11" s="1"/>
  <c r="M210" i="9"/>
  <c r="B211" i="9"/>
  <c r="D211" i="9"/>
  <c r="E211" i="9" s="1"/>
  <c r="S167" i="11" l="1"/>
  <c r="D168" i="11" s="1"/>
  <c r="M168" i="11" s="1"/>
  <c r="N168" i="11" s="1"/>
  <c r="O168" i="11" s="1"/>
  <c r="Q168" i="11" s="1"/>
  <c r="I211" i="9"/>
  <c r="J211" i="9" s="1"/>
  <c r="K211" i="9" s="1"/>
  <c r="L211" i="9" s="1"/>
  <c r="A212" i="9" s="1"/>
  <c r="B169" i="11" l="1"/>
  <c r="G169" i="11" s="1"/>
  <c r="R168" i="11"/>
  <c r="C169" i="11" s="1"/>
  <c r="J169" i="11" s="1"/>
  <c r="M211" i="9"/>
  <c r="B212" i="9"/>
  <c r="D212" i="9"/>
  <c r="E212" i="9" s="1"/>
  <c r="S168" i="11" l="1"/>
  <c r="D169" i="11" s="1"/>
  <c r="K169" i="11"/>
  <c r="I212" i="9"/>
  <c r="J212" i="9" s="1"/>
  <c r="K212" i="9" s="1"/>
  <c r="L212" i="9" s="1"/>
  <c r="A213" i="9" s="1"/>
  <c r="M169" i="11" l="1"/>
  <c r="M212" i="9"/>
  <c r="D213" i="9"/>
  <c r="E213" i="9" s="1"/>
  <c r="B213" i="9"/>
  <c r="N169" i="11" l="1"/>
  <c r="O169" i="11" s="1"/>
  <c r="Q169" i="11" s="1"/>
  <c r="I213" i="9"/>
  <c r="J213" i="9" s="1"/>
  <c r="K213" i="9" s="1"/>
  <c r="L213" i="9" s="1"/>
  <c r="A214" i="9" s="1"/>
  <c r="B170" i="11" l="1"/>
  <c r="G170" i="11" s="1"/>
  <c r="R169" i="11"/>
  <c r="C170" i="11" s="1"/>
  <c r="J170" i="11" s="1"/>
  <c r="M213" i="9"/>
  <c r="D214" i="9"/>
  <c r="E214" i="9" s="1"/>
  <c r="B214" i="9"/>
  <c r="S169" i="11" l="1"/>
  <c r="D170" i="11" s="1"/>
  <c r="K170" i="11"/>
  <c r="I214" i="9"/>
  <c r="J214" i="9" s="1"/>
  <c r="K214" i="9" s="1"/>
  <c r="L214" i="9" s="1"/>
  <c r="A215" i="9" s="1"/>
  <c r="M170" i="11" l="1"/>
  <c r="M214" i="9"/>
  <c r="B215" i="9"/>
  <c r="D215" i="9"/>
  <c r="E215" i="9" s="1"/>
  <c r="N170" i="11" l="1"/>
  <c r="O170" i="11" s="1"/>
  <c r="Q170" i="11" s="1"/>
  <c r="I215" i="9"/>
  <c r="J215" i="9" s="1"/>
  <c r="K215" i="9" s="1"/>
  <c r="L215" i="9" s="1"/>
  <c r="M215" i="9" s="1"/>
  <c r="B171" i="11" l="1"/>
  <c r="G171" i="11" s="1"/>
  <c r="R170" i="11"/>
  <c r="C171" i="11" s="1"/>
  <c r="J171" i="11" s="1"/>
  <c r="A216" i="9"/>
  <c r="B216" i="9" s="1"/>
  <c r="S170" i="11" l="1"/>
  <c r="D171" i="11" s="1"/>
  <c r="K171" i="11"/>
  <c r="D216" i="9"/>
  <c r="E216" i="9" s="1"/>
  <c r="I216" i="9" s="1"/>
  <c r="J216" i="9" s="1"/>
  <c r="K216" i="9" s="1"/>
  <c r="L216" i="9" s="1"/>
  <c r="A217" i="9" s="1"/>
  <c r="M171" i="11" l="1"/>
  <c r="M216" i="9"/>
  <c r="D217" i="9"/>
  <c r="E217" i="9" s="1"/>
  <c r="B217" i="9"/>
  <c r="N171" i="11" l="1"/>
  <c r="O171" i="11" s="1"/>
  <c r="Q171" i="11" s="1"/>
  <c r="I217" i="9"/>
  <c r="J217" i="9" s="1"/>
  <c r="K217" i="9" s="1"/>
  <c r="L217" i="9" s="1"/>
  <c r="A218" i="9" s="1"/>
  <c r="B172" i="11" l="1"/>
  <c r="G172" i="11" s="1"/>
  <c r="R171" i="11"/>
  <c r="C172" i="11" s="1"/>
  <c r="J172" i="11" s="1"/>
  <c r="M217" i="9"/>
  <c r="D218" i="9"/>
  <c r="E218" i="9" s="1"/>
  <c r="B218" i="9"/>
  <c r="K172" i="11" l="1"/>
  <c r="S171" i="11"/>
  <c r="D172" i="11" s="1"/>
  <c r="I218" i="9"/>
  <c r="J218" i="9" s="1"/>
  <c r="K218" i="9" s="1"/>
  <c r="L218" i="9" s="1"/>
  <c r="A219" i="9" s="1"/>
  <c r="M172" i="11" l="1"/>
  <c r="N172" i="11" s="1"/>
  <c r="O172" i="11" s="1"/>
  <c r="Q172" i="11" s="1"/>
  <c r="M218" i="9"/>
  <c r="B219" i="9"/>
  <c r="D219" i="9"/>
  <c r="E219" i="9" s="1"/>
  <c r="B173" i="11" l="1"/>
  <c r="G173" i="11" s="1"/>
  <c r="R172" i="11"/>
  <c r="C173" i="11" s="1"/>
  <c r="J173" i="11" s="1"/>
  <c r="K173" i="11" s="1"/>
  <c r="I219" i="9"/>
  <c r="J219" i="9" s="1"/>
  <c r="K219" i="9" s="1"/>
  <c r="L219" i="9" s="1"/>
  <c r="M219" i="9" s="1"/>
  <c r="S172" i="11" l="1"/>
  <c r="D173" i="11" s="1"/>
  <c r="M173" i="11" s="1"/>
  <c r="A220" i="9"/>
  <c r="B220" i="9" s="1"/>
  <c r="N173" i="11" l="1"/>
  <c r="D220" i="9"/>
  <c r="E220" i="9" s="1"/>
  <c r="I220" i="9" s="1"/>
  <c r="J220" i="9" s="1"/>
  <c r="K220" i="9" s="1"/>
  <c r="L220" i="9" s="1"/>
  <c r="A221" i="9" s="1"/>
  <c r="O173" i="11" l="1"/>
  <c r="Q173" i="11" s="1"/>
  <c r="M220" i="9"/>
  <c r="D221" i="9"/>
  <c r="E221" i="9" s="1"/>
  <c r="B221" i="9"/>
  <c r="B174" i="11" l="1"/>
  <c r="G174" i="11" s="1"/>
  <c r="R173" i="11"/>
  <c r="C174" i="11" s="1"/>
  <c r="J174" i="11" s="1"/>
  <c r="I221" i="9"/>
  <c r="J221" i="9" s="1"/>
  <c r="K221" i="9" s="1"/>
  <c r="L221" i="9" s="1"/>
  <c r="A222" i="9" s="1"/>
  <c r="S173" i="11" l="1"/>
  <c r="D174" i="11" s="1"/>
  <c r="K174" i="11"/>
  <c r="M221" i="9"/>
  <c r="D222" i="9"/>
  <c r="E222" i="9" s="1"/>
  <c r="B222" i="9"/>
  <c r="M174" i="11" l="1"/>
  <c r="I222" i="9"/>
  <c r="J222" i="9" s="1"/>
  <c r="K222" i="9" s="1"/>
  <c r="L222" i="9" s="1"/>
  <c r="A223" i="9" s="1"/>
  <c r="N174" i="11" l="1"/>
  <c r="M222" i="9"/>
  <c r="B223" i="9"/>
  <c r="D223" i="9"/>
  <c r="E223" i="9" s="1"/>
  <c r="O174" i="11" l="1"/>
  <c r="Q174" i="11" s="1"/>
  <c r="I223" i="9"/>
  <c r="J223" i="9" s="1"/>
  <c r="K223" i="9" s="1"/>
  <c r="L223" i="9" s="1"/>
  <c r="A224" i="9" s="1"/>
  <c r="R174" i="11" l="1"/>
  <c r="C175" i="11" s="1"/>
  <c r="J175" i="11" s="1"/>
  <c r="B175" i="11"/>
  <c r="G175" i="11" s="1"/>
  <c r="M223" i="9"/>
  <c r="B224" i="9"/>
  <c r="D224" i="9"/>
  <c r="E224" i="9" s="1"/>
  <c r="S174" i="11" l="1"/>
  <c r="D175" i="11" s="1"/>
  <c r="K175" i="11"/>
  <c r="I224" i="9"/>
  <c r="J224" i="9" s="1"/>
  <c r="K224" i="9" s="1"/>
  <c r="L224" i="9" s="1"/>
  <c r="A225" i="9" s="1"/>
  <c r="M175" i="11" l="1"/>
  <c r="N175" i="11" s="1"/>
  <c r="M224" i="9"/>
  <c r="B225" i="9"/>
  <c r="D225" i="9"/>
  <c r="E225" i="9" s="1"/>
  <c r="O175" i="11" l="1"/>
  <c r="Q175" i="11" s="1"/>
  <c r="I225" i="9"/>
  <c r="J225" i="9" s="1"/>
  <c r="K225" i="9" s="1"/>
  <c r="L225" i="9" s="1"/>
  <c r="A226" i="9" s="1"/>
  <c r="R175" i="11" l="1"/>
  <c r="C176" i="11" s="1"/>
  <c r="J176" i="11" s="1"/>
  <c r="B176" i="11"/>
  <c r="G176" i="11" s="1"/>
  <c r="M225" i="9"/>
  <c r="D226" i="9"/>
  <c r="E226" i="9" s="1"/>
  <c r="B226" i="9"/>
  <c r="S175" i="11" l="1"/>
  <c r="D176" i="11" s="1"/>
  <c r="K176" i="11"/>
  <c r="I226" i="9"/>
  <c r="J226" i="9" s="1"/>
  <c r="K226" i="9" s="1"/>
  <c r="L226" i="9" s="1"/>
  <c r="M176" i="11" l="1"/>
  <c r="N176" i="11" s="1"/>
  <c r="A227" i="9"/>
  <c r="M226" i="9"/>
  <c r="O176" i="11" l="1"/>
  <c r="Q176" i="11" s="1"/>
  <c r="B177" i="11" s="1"/>
  <c r="G177" i="11" s="1"/>
  <c r="B227" i="9"/>
  <c r="D227" i="9"/>
  <c r="E227" i="9" s="1"/>
  <c r="R176" i="11" l="1"/>
  <c r="C177" i="11" s="1"/>
  <c r="J177" i="11" s="1"/>
  <c r="K177" i="11" s="1"/>
  <c r="I227" i="9"/>
  <c r="J227" i="9" s="1"/>
  <c r="K227" i="9" s="1"/>
  <c r="L227" i="9" s="1"/>
  <c r="A228" i="9" s="1"/>
  <c r="S176" i="11" l="1"/>
  <c r="D177" i="11" s="1"/>
  <c r="M177" i="11" s="1"/>
  <c r="N177" i="11" s="1"/>
  <c r="M227" i="9"/>
  <c r="B228" i="9"/>
  <c r="D228" i="9"/>
  <c r="E228" i="9" s="1"/>
  <c r="O177" i="11" l="1"/>
  <c r="Q177" i="11" s="1"/>
  <c r="I228" i="9"/>
  <c r="J228" i="9" s="1"/>
  <c r="K228" i="9" s="1"/>
  <c r="L228" i="9" s="1"/>
  <c r="A229" i="9" s="1"/>
  <c r="R177" i="11" l="1"/>
  <c r="C178" i="11" s="1"/>
  <c r="J178" i="11" s="1"/>
  <c r="B178" i="11"/>
  <c r="G178" i="11" s="1"/>
  <c r="M228" i="9"/>
  <c r="B229" i="9"/>
  <c r="D229" i="9"/>
  <c r="E229" i="9" s="1"/>
  <c r="S177" i="11" l="1"/>
  <c r="D178" i="11" s="1"/>
  <c r="K178" i="11"/>
  <c r="I229" i="9"/>
  <c r="J229" i="9" s="1"/>
  <c r="K229" i="9" s="1"/>
  <c r="L229" i="9" s="1"/>
  <c r="M229" i="9" s="1"/>
  <c r="M178" i="11" l="1"/>
  <c r="N178" i="11" s="1"/>
  <c r="A230" i="9"/>
  <c r="B230" i="9" s="1"/>
  <c r="O178" i="11" l="1"/>
  <c r="Q178" i="11" s="1"/>
  <c r="D230" i="9"/>
  <c r="E230" i="9" s="1"/>
  <c r="I230" i="9" s="1"/>
  <c r="J230" i="9" s="1"/>
  <c r="K230" i="9" s="1"/>
  <c r="L230" i="9" s="1"/>
  <c r="A231" i="9" s="1"/>
  <c r="R178" i="11" l="1"/>
  <c r="C179" i="11" s="1"/>
  <c r="J179" i="11" s="1"/>
  <c r="B179" i="11"/>
  <c r="G179" i="11" s="1"/>
  <c r="M230" i="9"/>
  <c r="B231" i="9"/>
  <c r="D231" i="9"/>
  <c r="E231" i="9" s="1"/>
  <c r="S178" i="11" l="1"/>
  <c r="D179" i="11" s="1"/>
  <c r="K179" i="11"/>
  <c r="I231" i="9"/>
  <c r="J231" i="9" s="1"/>
  <c r="K231" i="9" s="1"/>
  <c r="L231" i="9" s="1"/>
  <c r="M231" i="9" s="1"/>
  <c r="M179" i="11" l="1"/>
  <c r="N179" i="11" s="1"/>
  <c r="A232" i="9"/>
  <c r="D232" i="9" s="1"/>
  <c r="E232" i="9" s="1"/>
  <c r="O179" i="11" l="1"/>
  <c r="Q179" i="11" s="1"/>
  <c r="B180" i="11" s="1"/>
  <c r="G180" i="11" s="1"/>
  <c r="B232" i="9"/>
  <c r="I232" i="9" s="1"/>
  <c r="J232" i="9" s="1"/>
  <c r="K232" i="9" s="1"/>
  <c r="L232" i="9" s="1"/>
  <c r="A233" i="9" s="1"/>
  <c r="R179" i="11" l="1"/>
  <c r="C180" i="11" s="1"/>
  <c r="J180" i="11" s="1"/>
  <c r="K180" i="11" s="1"/>
  <c r="M232" i="9"/>
  <c r="B233" i="9"/>
  <c r="D233" i="9"/>
  <c r="E233" i="9" s="1"/>
  <c r="S179" i="11" l="1"/>
  <c r="D180" i="11" s="1"/>
  <c r="M180" i="11" s="1"/>
  <c r="N180" i="11" s="1"/>
  <c r="I233" i="9"/>
  <c r="J233" i="9" s="1"/>
  <c r="K233" i="9" s="1"/>
  <c r="L233" i="9" s="1"/>
  <c r="M233" i="9" s="1"/>
  <c r="O180" i="11" l="1"/>
  <c r="Q180" i="11" s="1"/>
  <c r="A234" i="9"/>
  <c r="D234" i="9" s="1"/>
  <c r="E234" i="9" s="1"/>
  <c r="R180" i="11" l="1"/>
  <c r="C181" i="11" s="1"/>
  <c r="J181" i="11" s="1"/>
  <c r="B181" i="11"/>
  <c r="G181" i="11" s="1"/>
  <c r="B234" i="9"/>
  <c r="I234" i="9" s="1"/>
  <c r="J234" i="9" s="1"/>
  <c r="K234" i="9" s="1"/>
  <c r="L234" i="9" s="1"/>
  <c r="A235" i="9" s="1"/>
  <c r="S180" i="11" l="1"/>
  <c r="D181" i="11" s="1"/>
  <c r="K181" i="11"/>
  <c r="M234" i="9"/>
  <c r="D235" i="9"/>
  <c r="E235" i="9" s="1"/>
  <c r="B235" i="9"/>
  <c r="M181" i="11" l="1"/>
  <c r="N181" i="11" s="1"/>
  <c r="I235" i="9"/>
  <c r="J235" i="9" s="1"/>
  <c r="K235" i="9" s="1"/>
  <c r="L235" i="9" s="1"/>
  <c r="A236" i="9" s="1"/>
  <c r="O181" i="11" l="1"/>
  <c r="Q181" i="11" s="1"/>
  <c r="M235" i="9"/>
  <c r="D236" i="9"/>
  <c r="E236" i="9" s="1"/>
  <c r="B236" i="9"/>
  <c r="R181" i="11" l="1"/>
  <c r="C182" i="11" s="1"/>
  <c r="J182" i="11" s="1"/>
  <c r="B182" i="11"/>
  <c r="G182" i="11" s="1"/>
  <c r="I236" i="9"/>
  <c r="S181" i="11" l="1"/>
  <c r="D182" i="11" s="1"/>
  <c r="K182" i="11"/>
  <c r="J236" i="9"/>
  <c r="K236" i="9" s="1"/>
  <c r="L236" i="9" s="1"/>
  <c r="M182" i="11" l="1"/>
  <c r="N182" i="11" s="1"/>
  <c r="A237" i="9"/>
  <c r="M236" i="9"/>
  <c r="O182" i="11" l="1"/>
  <c r="Q182" i="11" s="1"/>
  <c r="B183" i="11" s="1"/>
  <c r="G183" i="11" s="1"/>
  <c r="D237" i="9"/>
  <c r="E237" i="9" s="1"/>
  <c r="B237" i="9"/>
  <c r="R182" i="11" l="1"/>
  <c r="C183" i="11" s="1"/>
  <c r="J183" i="11" s="1"/>
  <c r="K183" i="11" s="1"/>
  <c r="I237" i="9"/>
  <c r="J237" i="9" s="1"/>
  <c r="K237" i="9" s="1"/>
  <c r="L237" i="9" s="1"/>
  <c r="S182" i="11" l="1"/>
  <c r="D183" i="11" s="1"/>
  <c r="M183" i="11" s="1"/>
  <c r="N183" i="11" s="1"/>
  <c r="A238" i="9"/>
  <c r="M237" i="9"/>
  <c r="O183" i="11" l="1"/>
  <c r="Q183" i="11" s="1"/>
  <c r="D238" i="9"/>
  <c r="E238" i="9" s="1"/>
  <c r="B238" i="9"/>
  <c r="R183" i="11" l="1"/>
  <c r="C184" i="11" s="1"/>
  <c r="J184" i="11" s="1"/>
  <c r="B184" i="11"/>
  <c r="G184" i="11" s="1"/>
  <c r="I238" i="9"/>
  <c r="J238" i="9" s="1"/>
  <c r="K238" i="9" s="1"/>
  <c r="L238" i="9" s="1"/>
  <c r="A239" i="9" s="1"/>
  <c r="S183" i="11" l="1"/>
  <c r="D184" i="11" s="1"/>
  <c r="K184" i="11"/>
  <c r="M238" i="9"/>
  <c r="B239" i="9"/>
  <c r="D239" i="9"/>
  <c r="E239" i="9" s="1"/>
  <c r="M184" i="11" l="1"/>
  <c r="N184" i="11" s="1"/>
  <c r="I239" i="9"/>
  <c r="J239" i="9" s="1"/>
  <c r="K239" i="9" s="1"/>
  <c r="L239" i="9" s="1"/>
  <c r="O184" i="11" l="1"/>
  <c r="Q184" i="11" s="1"/>
  <c r="B185" i="11" s="1"/>
  <c r="G185" i="11" s="1"/>
  <c r="A240" i="9"/>
  <c r="M239" i="9"/>
  <c r="R184" i="11" l="1"/>
  <c r="C185" i="11" s="1"/>
  <c r="J185" i="11" s="1"/>
  <c r="K185" i="11" s="1"/>
  <c r="B240" i="9"/>
  <c r="D240" i="9"/>
  <c r="E240" i="9" s="1"/>
  <c r="S184" i="11" l="1"/>
  <c r="D185" i="11" s="1"/>
  <c r="M185" i="11" s="1"/>
  <c r="N185" i="11" s="1"/>
  <c r="I240" i="9"/>
  <c r="J240" i="9" s="1"/>
  <c r="K240" i="9" s="1"/>
  <c r="L240" i="9" s="1"/>
  <c r="O185" i="11" l="1"/>
  <c r="Q185" i="11" s="1"/>
  <c r="A241" i="9"/>
  <c r="M240" i="9"/>
  <c r="B186" i="11" l="1"/>
  <c r="G186" i="11" s="1"/>
  <c r="R185" i="11"/>
  <c r="C186" i="11" s="1"/>
  <c r="J186" i="11" s="1"/>
  <c r="B241" i="9"/>
  <c r="D241" i="9"/>
  <c r="E241" i="9" s="1"/>
  <c r="S185" i="11" l="1"/>
  <c r="D186" i="11" s="1"/>
  <c r="K186" i="11"/>
  <c r="I241" i="9"/>
  <c r="J241" i="9" s="1"/>
  <c r="K241" i="9" s="1"/>
  <c r="L241" i="9" s="1"/>
  <c r="M186" i="11" l="1"/>
  <c r="N186" i="11" s="1"/>
  <c r="A242" i="9"/>
  <c r="M241" i="9"/>
  <c r="O186" i="11" l="1"/>
  <c r="Q186" i="11" s="1"/>
  <c r="B187" i="11" s="1"/>
  <c r="G187" i="11" s="1"/>
  <c r="B242" i="9"/>
  <c r="D242" i="9"/>
  <c r="E242" i="9" s="1"/>
  <c r="R186" i="11" l="1"/>
  <c r="C187" i="11" s="1"/>
  <c r="J187" i="11" s="1"/>
  <c r="K187" i="11" s="1"/>
  <c r="I242" i="9"/>
  <c r="J242" i="9" s="1"/>
  <c r="K242" i="9" s="1"/>
  <c r="L242" i="9" s="1"/>
  <c r="S186" i="11" l="1"/>
  <c r="D187" i="11" s="1"/>
  <c r="M187" i="11" s="1"/>
  <c r="N187" i="11" s="1"/>
  <c r="A243" i="9"/>
  <c r="M242" i="9"/>
  <c r="O187" i="11" l="1"/>
  <c r="Q187" i="11" s="1"/>
  <c r="D243" i="9"/>
  <c r="E243" i="9" s="1"/>
  <c r="B243" i="9"/>
  <c r="R187" i="11" l="1"/>
  <c r="C188" i="11" s="1"/>
  <c r="J188" i="11" s="1"/>
  <c r="B188" i="11"/>
  <c r="G188" i="11" s="1"/>
  <c r="I243" i="9"/>
  <c r="J243" i="9" s="1"/>
  <c r="K243" i="9" s="1"/>
  <c r="L243" i="9" s="1"/>
  <c r="A244" i="9" s="1"/>
  <c r="S187" i="11" l="1"/>
  <c r="D188" i="11" s="1"/>
  <c r="K188" i="11"/>
  <c r="M243" i="9"/>
  <c r="D244" i="9"/>
  <c r="E244" i="9" s="1"/>
  <c r="B244" i="9"/>
  <c r="M188" i="11" l="1"/>
  <c r="N188" i="11" s="1"/>
  <c r="I244" i="9"/>
  <c r="J244" i="9" s="1"/>
  <c r="K244" i="9" s="1"/>
  <c r="L244" i="9" s="1"/>
  <c r="A245" i="9" s="1"/>
  <c r="O188" i="11" l="1"/>
  <c r="Q188" i="11" s="1"/>
  <c r="B189" i="11" s="1"/>
  <c r="G189" i="11" s="1"/>
  <c r="M244" i="9"/>
  <c r="B245" i="9"/>
  <c r="D245" i="9"/>
  <c r="E245" i="9" s="1"/>
  <c r="R188" i="11" l="1"/>
  <c r="C189" i="11" s="1"/>
  <c r="J189" i="11" s="1"/>
  <c r="K189" i="11" s="1"/>
  <c r="I245" i="9"/>
  <c r="J245" i="9" s="1"/>
  <c r="K245" i="9" s="1"/>
  <c r="L245" i="9" s="1"/>
  <c r="M245" i="9" s="1"/>
  <c r="S188" i="11" l="1"/>
  <c r="D189" i="11" s="1"/>
  <c r="M189" i="11" s="1"/>
  <c r="N189" i="11" s="1"/>
  <c r="A246" i="9"/>
  <c r="B246" i="9" s="1"/>
  <c r="O189" i="11" l="1"/>
  <c r="Q189" i="11" s="1"/>
  <c r="B190" i="11" s="1"/>
  <c r="G190" i="11" s="1"/>
  <c r="D246" i="9"/>
  <c r="E246" i="9" s="1"/>
  <c r="I246" i="9" s="1"/>
  <c r="J246" i="9" s="1"/>
  <c r="K246" i="9" s="1"/>
  <c r="L246" i="9" s="1"/>
  <c r="A247" i="9" s="1"/>
  <c r="R189" i="11" l="1"/>
  <c r="C190" i="11" s="1"/>
  <c r="J190" i="11" s="1"/>
  <c r="K190" i="11" s="1"/>
  <c r="M246" i="9"/>
  <c r="B247" i="9"/>
  <c r="D247" i="9"/>
  <c r="E247" i="9" s="1"/>
  <c r="S189" i="11" l="1"/>
  <c r="D190" i="11" s="1"/>
  <c r="M190" i="11" s="1"/>
  <c r="N190" i="11" s="1"/>
  <c r="I247" i="9"/>
  <c r="J247" i="9" s="1"/>
  <c r="K247" i="9" s="1"/>
  <c r="L247" i="9" s="1"/>
  <c r="O190" i="11" l="1"/>
  <c r="Q190" i="11" s="1"/>
  <c r="A248" i="9"/>
  <c r="M247" i="9"/>
  <c r="R190" i="11" l="1"/>
  <c r="C191" i="11" s="1"/>
  <c r="J191" i="11" s="1"/>
  <c r="B191" i="11"/>
  <c r="G191" i="11" s="1"/>
  <c r="B248" i="9"/>
  <c r="D248" i="9"/>
  <c r="E248" i="9" s="1"/>
  <c r="S190" i="11" l="1"/>
  <c r="D191" i="11" s="1"/>
  <c r="K191" i="11"/>
  <c r="I248" i="9"/>
  <c r="J248" i="9" s="1"/>
  <c r="K248" i="9" s="1"/>
  <c r="L248" i="9" s="1"/>
  <c r="A249" i="9" s="1"/>
  <c r="M191" i="11" l="1"/>
  <c r="N191" i="11" s="1"/>
  <c r="M248" i="9"/>
  <c r="B249" i="9"/>
  <c r="D249" i="9"/>
  <c r="E249" i="9" s="1"/>
  <c r="O191" i="11" l="1"/>
  <c r="Q191" i="11" s="1"/>
  <c r="I249" i="9"/>
  <c r="J249" i="9" s="1"/>
  <c r="K249" i="9" s="1"/>
  <c r="L249" i="9" s="1"/>
  <c r="A250" i="9" s="1"/>
  <c r="R191" i="11" l="1"/>
  <c r="C192" i="11" s="1"/>
  <c r="J192" i="11" s="1"/>
  <c r="B192" i="11"/>
  <c r="G192" i="11" s="1"/>
  <c r="M249" i="9"/>
  <c r="D250" i="9"/>
  <c r="E250" i="9" s="1"/>
  <c r="B250" i="9"/>
  <c r="K192" i="11" l="1"/>
  <c r="S191" i="11"/>
  <c r="D192" i="11" s="1"/>
  <c r="I250" i="9"/>
  <c r="J250" i="9" s="1"/>
  <c r="K250" i="9" s="1"/>
  <c r="L250" i="9" s="1"/>
  <c r="M192" i="11" l="1"/>
  <c r="N192" i="11" s="1"/>
  <c r="A251" i="9"/>
  <c r="M250" i="9"/>
  <c r="O192" i="11" l="1"/>
  <c r="Q192" i="11" s="1"/>
  <c r="B193" i="11" s="1"/>
  <c r="G193" i="11" s="1"/>
  <c r="D251" i="9"/>
  <c r="E251" i="9" s="1"/>
  <c r="B251" i="9"/>
  <c r="R192" i="11" l="1"/>
  <c r="C193" i="11" s="1"/>
  <c r="J193" i="11" s="1"/>
  <c r="K193" i="11" s="1"/>
  <c r="I251" i="9"/>
  <c r="J251" i="9" s="1"/>
  <c r="K251" i="9" s="1"/>
  <c r="L251" i="9" s="1"/>
  <c r="A252" i="9" s="1"/>
  <c r="S192" i="11" l="1"/>
  <c r="D193" i="11" s="1"/>
  <c r="M193" i="11" s="1"/>
  <c r="N193" i="11" s="1"/>
  <c r="M251" i="9"/>
  <c r="D252" i="9"/>
  <c r="E252" i="9" s="1"/>
  <c r="B252" i="9"/>
  <c r="O193" i="11" l="1"/>
  <c r="Q193" i="11" s="1"/>
  <c r="I252" i="9"/>
  <c r="J252" i="9" s="1"/>
  <c r="K252" i="9" s="1"/>
  <c r="L252" i="9" s="1"/>
  <c r="R193" i="11" l="1"/>
  <c r="C194" i="11" s="1"/>
  <c r="J194" i="11" s="1"/>
  <c r="B194" i="11"/>
  <c r="G194" i="11" s="1"/>
  <c r="A253" i="9"/>
  <c r="M252" i="9"/>
  <c r="S193" i="11" l="1"/>
  <c r="D194" i="11" s="1"/>
  <c r="K194" i="11"/>
  <c r="B253" i="9"/>
  <c r="D253" i="9"/>
  <c r="E253" i="9" s="1"/>
  <c r="M194" i="11" l="1"/>
  <c r="N194" i="11" s="1"/>
  <c r="I253" i="9"/>
  <c r="J253" i="9" s="1"/>
  <c r="K253" i="9" s="1"/>
  <c r="L253" i="9" s="1"/>
  <c r="A254" i="9" s="1"/>
  <c r="O194" i="11" l="1"/>
  <c r="Q194" i="11" s="1"/>
  <c r="M253" i="9"/>
  <c r="B254" i="9"/>
  <c r="D254" i="9"/>
  <c r="E254" i="9" s="1"/>
  <c r="R194" i="11" l="1"/>
  <c r="C195" i="11" s="1"/>
  <c r="J195" i="11" s="1"/>
  <c r="B195" i="11"/>
  <c r="G195" i="11" s="1"/>
  <c r="I254" i="9"/>
  <c r="J254" i="9" s="1"/>
  <c r="K254" i="9" s="1"/>
  <c r="L254" i="9" s="1"/>
  <c r="K195" i="11" l="1"/>
  <c r="S194" i="11"/>
  <c r="D195" i="11" s="1"/>
  <c r="A255" i="9"/>
  <c r="M254" i="9"/>
  <c r="M195" i="11" l="1"/>
  <c r="N195" i="11" s="1"/>
  <c r="B255" i="9"/>
  <c r="D255" i="9"/>
  <c r="E255" i="9" s="1"/>
  <c r="O195" i="11" l="1"/>
  <c r="Q195" i="11" s="1"/>
  <c r="B196" i="11" s="1"/>
  <c r="G196" i="11" s="1"/>
  <c r="I255" i="9"/>
  <c r="J255" i="9" s="1"/>
  <c r="K255" i="9" s="1"/>
  <c r="L255" i="9" s="1"/>
  <c r="R195" i="11" l="1"/>
  <c r="C196" i="11" s="1"/>
  <c r="J196" i="11" s="1"/>
  <c r="K196" i="11" s="1"/>
  <c r="A256" i="9"/>
  <c r="M255" i="9"/>
  <c r="S195" i="11" l="1"/>
  <c r="D196" i="11" s="1"/>
  <c r="M196" i="11" s="1"/>
  <c r="N196" i="11" s="1"/>
  <c r="B256" i="9"/>
  <c r="D256" i="9"/>
  <c r="E256" i="9" s="1"/>
  <c r="O196" i="11" l="1"/>
  <c r="Q196" i="11" s="1"/>
  <c r="B197" i="11" s="1"/>
  <c r="G197" i="11" s="1"/>
  <c r="I256" i="9"/>
  <c r="J256" i="9" s="1"/>
  <c r="K256" i="9" s="1"/>
  <c r="L256" i="9" s="1"/>
  <c r="R196" i="11" l="1"/>
  <c r="C197" i="11" s="1"/>
  <c r="J197" i="11" s="1"/>
  <c r="K197" i="11" s="1"/>
  <c r="A257" i="9"/>
  <c r="M256" i="9"/>
  <c r="S196" i="11" l="1"/>
  <c r="D197" i="11" s="1"/>
  <c r="M197" i="11" s="1"/>
  <c r="N197" i="11" s="1"/>
  <c r="D257" i="9"/>
  <c r="E257" i="9" s="1"/>
  <c r="B257" i="9"/>
  <c r="O197" i="11" l="1"/>
  <c r="Q197" i="11" s="1"/>
  <c r="I257" i="9"/>
  <c r="J257" i="9" s="1"/>
  <c r="K257" i="9" s="1"/>
  <c r="L257" i="9" s="1"/>
  <c r="A258" i="9" s="1"/>
  <c r="R197" i="11" l="1"/>
  <c r="C198" i="11" s="1"/>
  <c r="J198" i="11" s="1"/>
  <c r="B198" i="11"/>
  <c r="G198" i="11" s="1"/>
  <c r="M257" i="9"/>
  <c r="D258" i="9"/>
  <c r="E258" i="9" s="1"/>
  <c r="B258" i="9"/>
  <c r="S197" i="11" l="1"/>
  <c r="D198" i="11" s="1"/>
  <c r="K198" i="11"/>
  <c r="I258" i="9"/>
  <c r="J258" i="9" s="1"/>
  <c r="K258" i="9" s="1"/>
  <c r="L258" i="9" s="1"/>
  <c r="M198" i="11" l="1"/>
  <c r="N198" i="11" s="1"/>
  <c r="A259" i="9"/>
  <c r="M258" i="9"/>
  <c r="O198" i="11" l="1"/>
  <c r="Q198" i="11" s="1"/>
  <c r="B199" i="11" s="1"/>
  <c r="G199" i="11" s="1"/>
  <c r="B259" i="9"/>
  <c r="D259" i="9"/>
  <c r="E259" i="9" s="1"/>
  <c r="R198" i="11" l="1"/>
  <c r="C199" i="11" s="1"/>
  <c r="J199" i="11" s="1"/>
  <c r="K199" i="11" s="1"/>
  <c r="I259" i="9"/>
  <c r="J259" i="9" s="1"/>
  <c r="K259" i="9" s="1"/>
  <c r="L259" i="9" s="1"/>
  <c r="A260" i="9" s="1"/>
  <c r="S198" i="11" l="1"/>
  <c r="D199" i="11" s="1"/>
  <c r="M199" i="11" s="1"/>
  <c r="N199" i="11" s="1"/>
  <c r="M259" i="9"/>
  <c r="B260" i="9"/>
  <c r="D260" i="9"/>
  <c r="E260" i="9" s="1"/>
  <c r="O199" i="11" l="1"/>
  <c r="Q199" i="11" s="1"/>
  <c r="B200" i="11" s="1"/>
  <c r="G200" i="11" s="1"/>
  <c r="I260" i="9"/>
  <c r="J260" i="9" s="1"/>
  <c r="K260" i="9" s="1"/>
  <c r="L260" i="9" s="1"/>
  <c r="A261" i="9" s="1"/>
  <c r="R199" i="11" l="1"/>
  <c r="C200" i="11" s="1"/>
  <c r="J200" i="11" s="1"/>
  <c r="K200" i="11" s="1"/>
  <c r="M260" i="9"/>
  <c r="B261" i="9"/>
  <c r="D261" i="9"/>
  <c r="E261" i="9" s="1"/>
  <c r="S199" i="11" l="1"/>
  <c r="D200" i="11" s="1"/>
  <c r="M200" i="11" s="1"/>
  <c r="N200" i="11" s="1"/>
  <c r="I261" i="9"/>
  <c r="J261" i="9" s="1"/>
  <c r="K261" i="9" s="1"/>
  <c r="L261" i="9" s="1"/>
  <c r="A262" i="9" s="1"/>
  <c r="O200" i="11" l="1"/>
  <c r="Q200" i="11" s="1"/>
  <c r="M261" i="9"/>
  <c r="B262" i="9"/>
  <c r="D262" i="9"/>
  <c r="E262" i="9" s="1"/>
  <c r="R200" i="11" l="1"/>
  <c r="C201" i="11" s="1"/>
  <c r="J201" i="11" s="1"/>
  <c r="B201" i="11"/>
  <c r="G201" i="11" s="1"/>
  <c r="I262" i="9"/>
  <c r="J262" i="9" s="1"/>
  <c r="K262" i="9" s="1"/>
  <c r="L262" i="9" s="1"/>
  <c r="A263" i="9" s="1"/>
  <c r="K201" i="11" l="1"/>
  <c r="S200" i="11"/>
  <c r="D201" i="11" s="1"/>
  <c r="M262" i="9"/>
  <c r="D263" i="9"/>
  <c r="E263" i="9" s="1"/>
  <c r="B263" i="9"/>
  <c r="M201" i="11" l="1"/>
  <c r="N201" i="11" s="1"/>
  <c r="I263" i="9"/>
  <c r="J263" i="9" s="1"/>
  <c r="K263" i="9" s="1"/>
  <c r="L263" i="9" s="1"/>
  <c r="O201" i="11" l="1"/>
  <c r="Q201" i="11" s="1"/>
  <c r="A264" i="9"/>
  <c r="M263" i="9"/>
  <c r="R201" i="11" l="1"/>
  <c r="C202" i="11" s="1"/>
  <c r="J202" i="11" s="1"/>
  <c r="B202" i="11"/>
  <c r="G202" i="11" s="1"/>
  <c r="B264" i="9"/>
  <c r="D264" i="9"/>
  <c r="E264" i="9" s="1"/>
  <c r="S201" i="11" l="1"/>
  <c r="D202" i="11" s="1"/>
  <c r="K202" i="11"/>
  <c r="I264" i="9"/>
  <c r="J264" i="9" s="1"/>
  <c r="K264" i="9" s="1"/>
  <c r="L264" i="9" s="1"/>
  <c r="M202" i="11" l="1"/>
  <c r="N202" i="11" s="1"/>
  <c r="A265" i="9"/>
  <c r="M264" i="9"/>
  <c r="O202" i="11" l="1"/>
  <c r="Q202" i="11" s="1"/>
  <c r="B203" i="11" s="1"/>
  <c r="G203" i="11" s="1"/>
  <c r="B265" i="9"/>
  <c r="D265" i="9"/>
  <c r="E265" i="9" s="1"/>
  <c r="R202" i="11" l="1"/>
  <c r="C203" i="11" s="1"/>
  <c r="J203" i="11" s="1"/>
  <c r="K203" i="11" s="1"/>
  <c r="I265" i="9"/>
  <c r="J265" i="9" s="1"/>
  <c r="K265" i="9" s="1"/>
  <c r="L265" i="9" s="1"/>
  <c r="A266" i="9" s="1"/>
  <c r="S202" i="11" l="1"/>
  <c r="D203" i="11" s="1"/>
  <c r="M203" i="11" s="1"/>
  <c r="N203" i="11" s="1"/>
  <c r="M265" i="9"/>
  <c r="B266" i="9"/>
  <c r="D266" i="9"/>
  <c r="E266" i="9" s="1"/>
  <c r="O203" i="11" l="1"/>
  <c r="Q203" i="11" s="1"/>
  <c r="I266" i="9"/>
  <c r="J266" i="9" s="1"/>
  <c r="K266" i="9" s="1"/>
  <c r="L266" i="9" s="1"/>
  <c r="M266" i="9" s="1"/>
  <c r="R203" i="11" l="1"/>
  <c r="C204" i="11" s="1"/>
  <c r="J204" i="11" s="1"/>
  <c r="B204" i="11"/>
  <c r="G204" i="11" s="1"/>
  <c r="A267" i="9"/>
  <c r="B267" i="9" s="1"/>
  <c r="S203" i="11" l="1"/>
  <c r="D204" i="11" s="1"/>
  <c r="K204" i="11"/>
  <c r="D267" i="9"/>
  <c r="E267" i="9" s="1"/>
  <c r="I267" i="9" s="1"/>
  <c r="J267" i="9" s="1"/>
  <c r="K267" i="9" s="1"/>
  <c r="L267" i="9" s="1"/>
  <c r="M204" i="11" l="1"/>
  <c r="N204" i="11" s="1"/>
  <c r="A268" i="9"/>
  <c r="M267" i="9"/>
  <c r="O204" i="11" l="1"/>
  <c r="Q204" i="11" s="1"/>
  <c r="B268" i="9"/>
  <c r="D268" i="9"/>
  <c r="E268" i="9" s="1"/>
  <c r="R204" i="11" l="1"/>
  <c r="C205" i="11" s="1"/>
  <c r="J205" i="11" s="1"/>
  <c r="B205" i="11"/>
  <c r="G205" i="11" s="1"/>
  <c r="I268" i="9"/>
  <c r="J268" i="9" s="1"/>
  <c r="K268" i="9" s="1"/>
  <c r="L268" i="9" s="1"/>
  <c r="A269" i="9" s="1"/>
  <c r="S204" i="11" l="1"/>
  <c r="D205" i="11" s="1"/>
  <c r="K205" i="11"/>
  <c r="M268" i="9"/>
  <c r="B269" i="9"/>
  <c r="D269" i="9"/>
  <c r="E269" i="9" s="1"/>
  <c r="M205" i="11" l="1"/>
  <c r="N205" i="11" s="1"/>
  <c r="I269" i="9"/>
  <c r="J269" i="9" s="1"/>
  <c r="K269" i="9" s="1"/>
  <c r="L269" i="9" s="1"/>
  <c r="A270" i="9" s="1"/>
  <c r="O205" i="11" l="1"/>
  <c r="Q205" i="11" s="1"/>
  <c r="M269" i="9"/>
  <c r="B270" i="9"/>
  <c r="D270" i="9"/>
  <c r="E270" i="9" s="1"/>
  <c r="R205" i="11" l="1"/>
  <c r="C206" i="11" s="1"/>
  <c r="J206" i="11" s="1"/>
  <c r="B206" i="11"/>
  <c r="G206" i="11" s="1"/>
  <c r="I270" i="9"/>
  <c r="J270" i="9" s="1"/>
  <c r="K270" i="9" s="1"/>
  <c r="L270" i="9" s="1"/>
  <c r="A271" i="9" s="1"/>
  <c r="S205" i="11" l="1"/>
  <c r="D206" i="11" s="1"/>
  <c r="K206" i="11"/>
  <c r="M270" i="9"/>
  <c r="B271" i="9"/>
  <c r="D271" i="9"/>
  <c r="E271" i="9" s="1"/>
  <c r="M206" i="11" l="1"/>
  <c r="N206" i="11" s="1"/>
  <c r="I271" i="9"/>
  <c r="J271" i="9" s="1"/>
  <c r="K271" i="9" s="1"/>
  <c r="L271" i="9" s="1"/>
  <c r="A272" i="9" s="1"/>
  <c r="O206" i="11" l="1"/>
  <c r="Q206" i="11" s="1"/>
  <c r="M271" i="9"/>
  <c r="B272" i="9"/>
  <c r="D272" i="9"/>
  <c r="E272" i="9" s="1"/>
  <c r="R206" i="11" l="1"/>
  <c r="C207" i="11" s="1"/>
  <c r="J207" i="11" s="1"/>
  <c r="B207" i="11"/>
  <c r="G207" i="11" s="1"/>
  <c r="I272" i="9"/>
  <c r="J272" i="9" s="1"/>
  <c r="K272" i="9" s="1"/>
  <c r="L272" i="9" s="1"/>
  <c r="M272" i="9" s="1"/>
  <c r="K207" i="11" l="1"/>
  <c r="S206" i="11"/>
  <c r="D207" i="11" s="1"/>
  <c r="A273" i="9"/>
  <c r="D273" i="9" s="1"/>
  <c r="E273" i="9" s="1"/>
  <c r="M207" i="11" l="1"/>
  <c r="N207" i="11" s="1"/>
  <c r="B273" i="9"/>
  <c r="I273" i="9" s="1"/>
  <c r="J273" i="9" s="1"/>
  <c r="K273" i="9" s="1"/>
  <c r="L273" i="9" s="1"/>
  <c r="A274" i="9" s="1"/>
  <c r="O207" i="11" l="1"/>
  <c r="Q207" i="11" s="1"/>
  <c r="B208" i="11" s="1"/>
  <c r="G208" i="11" s="1"/>
  <c r="M273" i="9"/>
  <c r="D274" i="9"/>
  <c r="E274" i="9" s="1"/>
  <c r="B274" i="9"/>
  <c r="R207" i="11" l="1"/>
  <c r="C208" i="11" s="1"/>
  <c r="J208" i="11" s="1"/>
  <c r="K208" i="11" s="1"/>
  <c r="I274" i="9"/>
  <c r="J274" i="9" s="1"/>
  <c r="K274" i="9" s="1"/>
  <c r="L274" i="9" s="1"/>
  <c r="S207" i="11" l="1"/>
  <c r="D208" i="11" s="1"/>
  <c r="M208" i="11" s="1"/>
  <c r="N208" i="11" s="1"/>
  <c r="A275" i="9"/>
  <c r="M274" i="9"/>
  <c r="O208" i="11" l="1"/>
  <c r="Q208" i="11" s="1"/>
  <c r="B209" i="11" s="1"/>
  <c r="G209" i="11" s="1"/>
  <c r="B275" i="9"/>
  <c r="D275" i="9"/>
  <c r="E275" i="9" s="1"/>
  <c r="R208" i="11" l="1"/>
  <c r="C209" i="11" s="1"/>
  <c r="J209" i="11" s="1"/>
  <c r="K209" i="11" s="1"/>
  <c r="I275" i="9"/>
  <c r="J275" i="9" s="1"/>
  <c r="S208" i="11" l="1"/>
  <c r="D209" i="11" s="1"/>
  <c r="M209" i="11" s="1"/>
  <c r="K275" i="9"/>
  <c r="L275" i="9" s="1"/>
  <c r="A276" i="9" s="1"/>
  <c r="N209" i="11" l="1"/>
  <c r="O209" i="11" s="1"/>
  <c r="M275" i="9"/>
  <c r="B276" i="9"/>
  <c r="D276" i="9"/>
  <c r="E276" i="9" s="1"/>
  <c r="Q209" i="11" l="1"/>
  <c r="B210" i="11" s="1"/>
  <c r="G210" i="11" s="1"/>
  <c r="R209" i="11"/>
  <c r="C210" i="11" s="1"/>
  <c r="J210" i="11" s="1"/>
  <c r="I276" i="9"/>
  <c r="J276" i="9" s="1"/>
  <c r="K276" i="9" s="1"/>
  <c r="L276" i="9" s="1"/>
  <c r="M276" i="9" s="1"/>
  <c r="K210" i="11" l="1"/>
  <c r="S209" i="11"/>
  <c r="D210" i="11" s="1"/>
  <c r="A277" i="9"/>
  <c r="D277" i="9" s="1"/>
  <c r="E277" i="9" s="1"/>
  <c r="M210" i="11" l="1"/>
  <c r="N210" i="11" s="1"/>
  <c r="O210" i="11" s="1"/>
  <c r="Q210" i="11" s="1"/>
  <c r="B211" i="11" s="1"/>
  <c r="G211" i="11" s="1"/>
  <c r="B277" i="9"/>
  <c r="I277" i="9" s="1"/>
  <c r="J277" i="9" s="1"/>
  <c r="K277" i="9" s="1"/>
  <c r="L277" i="9" s="1"/>
  <c r="A278" i="9" s="1"/>
  <c r="R210" i="11" l="1"/>
  <c r="C211" i="11" s="1"/>
  <c r="J211" i="11" s="1"/>
  <c r="K211" i="11" s="1"/>
  <c r="M277" i="9"/>
  <c r="B278" i="9"/>
  <c r="D278" i="9"/>
  <c r="E278" i="9" s="1"/>
  <c r="S210" i="11" l="1"/>
  <c r="D211" i="11" s="1"/>
  <c r="M211" i="11" s="1"/>
  <c r="N211" i="11" s="1"/>
  <c r="I278" i="9"/>
  <c r="J278" i="9" s="1"/>
  <c r="K278" i="9" s="1"/>
  <c r="L278" i="9" s="1"/>
  <c r="M278" i="9" s="1"/>
  <c r="O211" i="11" l="1"/>
  <c r="Q211" i="11" s="1"/>
  <c r="B212" i="11" s="1"/>
  <c r="G212" i="11" s="1"/>
  <c r="A279" i="9"/>
  <c r="B279" i="9" s="1"/>
  <c r="R211" i="11" l="1"/>
  <c r="C212" i="11" s="1"/>
  <c r="J212" i="11" s="1"/>
  <c r="K212" i="11" s="1"/>
  <c r="D279" i="9"/>
  <c r="E279" i="9" s="1"/>
  <c r="I279" i="9" s="1"/>
  <c r="J279" i="9" s="1"/>
  <c r="K279" i="9" s="1"/>
  <c r="L279" i="9" s="1"/>
  <c r="A280" i="9" s="1"/>
  <c r="S211" i="11" l="1"/>
  <c r="D212" i="11" s="1"/>
  <c r="M212" i="11" s="1"/>
  <c r="M279" i="9"/>
  <c r="B280" i="9"/>
  <c r="D280" i="9"/>
  <c r="E280" i="9" s="1"/>
  <c r="N212" i="11" l="1"/>
  <c r="I280" i="9"/>
  <c r="J280" i="9" s="1"/>
  <c r="K280" i="9" s="1"/>
  <c r="L280" i="9" s="1"/>
  <c r="A281" i="9" s="1"/>
  <c r="O212" i="11" l="1"/>
  <c r="Q212" i="11" s="1"/>
  <c r="M280" i="9"/>
  <c r="D281" i="9"/>
  <c r="E281" i="9" s="1"/>
  <c r="B281" i="9"/>
  <c r="R212" i="11" l="1"/>
  <c r="C213" i="11" s="1"/>
  <c r="J213" i="11" s="1"/>
  <c r="B213" i="11"/>
  <c r="G213" i="11" s="1"/>
  <c r="I281" i="9"/>
  <c r="S212" i="11" l="1"/>
  <c r="D213" i="11" s="1"/>
  <c r="K213" i="11"/>
  <c r="J281" i="9"/>
  <c r="K281" i="9" s="1"/>
  <c r="L281" i="9" s="1"/>
  <c r="M213" i="11" l="1"/>
  <c r="N213" i="11" s="1"/>
  <c r="A282" i="9"/>
  <c r="M281" i="9"/>
  <c r="O213" i="11" l="1"/>
  <c r="Q213" i="11" s="1"/>
  <c r="B214" i="11" s="1"/>
  <c r="G214" i="11" s="1"/>
  <c r="B282" i="9"/>
  <c r="D282" i="9"/>
  <c r="E282" i="9" s="1"/>
  <c r="R213" i="11" l="1"/>
  <c r="C214" i="11" s="1"/>
  <c r="J214" i="11" s="1"/>
  <c r="K214" i="11" s="1"/>
  <c r="I282" i="9"/>
  <c r="J282" i="9" s="1"/>
  <c r="K282" i="9" s="1"/>
  <c r="L282" i="9" s="1"/>
  <c r="A283" i="9" s="1"/>
  <c r="S213" i="11" l="1"/>
  <c r="D214" i="11" s="1"/>
  <c r="M214" i="11" s="1"/>
  <c r="N214" i="11" s="1"/>
  <c r="M282" i="9"/>
  <c r="D283" i="9"/>
  <c r="E283" i="9" s="1"/>
  <c r="B283" i="9"/>
  <c r="O214" i="11" l="1"/>
  <c r="Q214" i="11" s="1"/>
  <c r="B215" i="11" s="1"/>
  <c r="G215" i="11" s="1"/>
  <c r="I283" i="9"/>
  <c r="R214" i="11" l="1"/>
  <c r="C215" i="11" s="1"/>
  <c r="J215" i="11" s="1"/>
  <c r="K215" i="11" s="1"/>
  <c r="J283" i="9"/>
  <c r="K283" i="9" s="1"/>
  <c r="L283" i="9" s="1"/>
  <c r="S214" i="11" l="1"/>
  <c r="D215" i="11" s="1"/>
  <c r="M215" i="11" s="1"/>
  <c r="N215" i="11" s="1"/>
  <c r="A284" i="9"/>
  <c r="M283" i="9"/>
  <c r="O215" i="11" l="1"/>
  <c r="Q215" i="11" s="1"/>
  <c r="B216" i="11" s="1"/>
  <c r="G216" i="11" s="1"/>
  <c r="D284" i="9"/>
  <c r="E284" i="9" s="1"/>
  <c r="B284" i="9"/>
  <c r="R215" i="11" l="1"/>
  <c r="C216" i="11" s="1"/>
  <c r="J216" i="11" s="1"/>
  <c r="K216" i="11" s="1"/>
  <c r="I284" i="9"/>
  <c r="J284" i="9" s="1"/>
  <c r="K284" i="9" s="1"/>
  <c r="L284" i="9" s="1"/>
  <c r="A285" i="9" s="1"/>
  <c r="S215" i="11" l="1"/>
  <c r="D216" i="11" s="1"/>
  <c r="M216" i="11" s="1"/>
  <c r="N216" i="11" s="1"/>
  <c r="O216" i="11" s="1"/>
  <c r="Q216" i="11" s="1"/>
  <c r="B217" i="11" s="1"/>
  <c r="G217" i="11" s="1"/>
  <c r="M284" i="9"/>
  <c r="B285" i="9"/>
  <c r="D285" i="9"/>
  <c r="E285" i="9" s="1"/>
  <c r="R216" i="11" l="1"/>
  <c r="C217" i="11" s="1"/>
  <c r="J217" i="11" s="1"/>
  <c r="K217" i="11" s="1"/>
  <c r="I285" i="9"/>
  <c r="J285" i="9" s="1"/>
  <c r="K285" i="9" s="1"/>
  <c r="L285" i="9" s="1"/>
  <c r="A286" i="9" s="1"/>
  <c r="S216" i="11" l="1"/>
  <c r="D217" i="11" s="1"/>
  <c r="M217" i="11" s="1"/>
  <c r="N217" i="11" s="1"/>
  <c r="M285" i="9"/>
  <c r="D286" i="9"/>
  <c r="E286" i="9" s="1"/>
  <c r="B286" i="9"/>
  <c r="O217" i="11" l="1"/>
  <c r="Q217" i="11" s="1"/>
  <c r="B218" i="11" s="1"/>
  <c r="G218" i="11" s="1"/>
  <c r="I286" i="9"/>
  <c r="J286" i="9" s="1"/>
  <c r="K286" i="9" s="1"/>
  <c r="L286" i="9" s="1"/>
  <c r="A287" i="9" s="1"/>
  <c r="R217" i="11" l="1"/>
  <c r="C218" i="11" s="1"/>
  <c r="J218" i="11" s="1"/>
  <c r="K218" i="11" s="1"/>
  <c r="M286" i="9"/>
  <c r="D287" i="9"/>
  <c r="E287" i="9" s="1"/>
  <c r="B287" i="9"/>
  <c r="S217" i="11" l="1"/>
  <c r="D218" i="11" s="1"/>
  <c r="M218" i="11" s="1"/>
  <c r="N218" i="11" s="1"/>
  <c r="I287" i="9"/>
  <c r="J287" i="9" s="1"/>
  <c r="K287" i="9" s="1"/>
  <c r="L287" i="9" s="1"/>
  <c r="O218" i="11" l="1"/>
  <c r="Q218" i="11" s="1"/>
  <c r="A288" i="9"/>
  <c r="M287" i="9"/>
  <c r="R218" i="11" l="1"/>
  <c r="C219" i="11" s="1"/>
  <c r="J219" i="11" s="1"/>
  <c r="B219" i="11"/>
  <c r="G219" i="11" s="1"/>
  <c r="B288" i="9"/>
  <c r="D288" i="9"/>
  <c r="E288" i="9" s="1"/>
  <c r="S218" i="11" l="1"/>
  <c r="D219" i="11" s="1"/>
  <c r="K219" i="11"/>
  <c r="I288" i="9"/>
  <c r="J288" i="9" s="1"/>
  <c r="K288" i="9" s="1"/>
  <c r="L288" i="9" s="1"/>
  <c r="A289" i="9" s="1"/>
  <c r="M219" i="11" l="1"/>
  <c r="N219" i="11" s="1"/>
  <c r="M288" i="9"/>
  <c r="B289" i="9"/>
  <c r="D289" i="9"/>
  <c r="E289" i="9" s="1"/>
  <c r="O219" i="11" l="1"/>
  <c r="Q219" i="11" s="1"/>
  <c r="B220" i="11" s="1"/>
  <c r="G220" i="11" s="1"/>
  <c r="I289" i="9"/>
  <c r="J289" i="9" s="1"/>
  <c r="K289" i="9" s="1"/>
  <c r="L289" i="9" s="1"/>
  <c r="A290" i="9" s="1"/>
  <c r="R219" i="11" l="1"/>
  <c r="C220" i="11" s="1"/>
  <c r="J220" i="11" s="1"/>
  <c r="K220" i="11" s="1"/>
  <c r="M289" i="9"/>
  <c r="B290" i="9"/>
  <c r="D290" i="9"/>
  <c r="E290" i="9" s="1"/>
  <c r="S219" i="11" l="1"/>
  <c r="D220" i="11" s="1"/>
  <c r="M220" i="11" s="1"/>
  <c r="I290" i="9"/>
  <c r="J290" i="9" s="1"/>
  <c r="K290" i="9" s="1"/>
  <c r="L290" i="9" s="1"/>
  <c r="A291" i="9" s="1"/>
  <c r="N220" i="11" l="1"/>
  <c r="O220" i="11" s="1"/>
  <c r="Q220" i="11" s="1"/>
  <c r="B221" i="11" s="1"/>
  <c r="G221" i="11" s="1"/>
  <c r="M290" i="9"/>
  <c r="B291" i="9"/>
  <c r="D291" i="9"/>
  <c r="E291" i="9" s="1"/>
  <c r="R220" i="11" l="1"/>
  <c r="C221" i="11" s="1"/>
  <c r="J221" i="11" s="1"/>
  <c r="K221" i="11" s="1"/>
  <c r="I291" i="9"/>
  <c r="J291" i="9" s="1"/>
  <c r="K291" i="9" s="1"/>
  <c r="L291" i="9" s="1"/>
  <c r="A292" i="9" s="1"/>
  <c r="S220" i="11" l="1"/>
  <c r="D221" i="11" s="1"/>
  <c r="M221" i="11" s="1"/>
  <c r="M291" i="9"/>
  <c r="B292" i="9"/>
  <c r="D292" i="9"/>
  <c r="E292" i="9" s="1"/>
  <c r="N221" i="11" l="1"/>
  <c r="O221" i="11" s="1"/>
  <c r="Q221" i="11" s="1"/>
  <c r="B222" i="11" s="1"/>
  <c r="G222" i="11" s="1"/>
  <c r="I292" i="9"/>
  <c r="J292" i="9" s="1"/>
  <c r="K292" i="9" s="1"/>
  <c r="L292" i="9" s="1"/>
  <c r="A293" i="9" s="1"/>
  <c r="R221" i="11" l="1"/>
  <c r="C222" i="11" s="1"/>
  <c r="J222" i="11" s="1"/>
  <c r="K222" i="11" s="1"/>
  <c r="M292" i="9"/>
  <c r="D293" i="9"/>
  <c r="E293" i="9" s="1"/>
  <c r="B293" i="9"/>
  <c r="S221" i="11" l="1"/>
  <c r="D222" i="11" s="1"/>
  <c r="M222" i="11" s="1"/>
  <c r="N222" i="11" s="1"/>
  <c r="I293" i="9"/>
  <c r="J293" i="9" s="1"/>
  <c r="K293" i="9" s="1"/>
  <c r="L293" i="9" s="1"/>
  <c r="O222" i="11" l="1"/>
  <c r="Q222" i="11" s="1"/>
  <c r="A294" i="9"/>
  <c r="M293" i="9"/>
  <c r="R222" i="11" l="1"/>
  <c r="C223" i="11" s="1"/>
  <c r="J223" i="11" s="1"/>
  <c r="B223" i="11"/>
  <c r="G223" i="11" s="1"/>
  <c r="D294" i="9"/>
  <c r="E294" i="9" s="1"/>
  <c r="B294" i="9"/>
  <c r="S222" i="11" l="1"/>
  <c r="D223" i="11" s="1"/>
  <c r="K223" i="11"/>
  <c r="I294" i="9"/>
  <c r="J294" i="9" s="1"/>
  <c r="K294" i="9" s="1"/>
  <c r="L294" i="9" s="1"/>
  <c r="M223" i="11" l="1"/>
  <c r="N223" i="11" s="1"/>
  <c r="A295" i="9"/>
  <c r="M294" i="9"/>
  <c r="O223" i="11" l="1"/>
  <c r="Q223" i="11" s="1"/>
  <c r="B224" i="11" s="1"/>
  <c r="G224" i="11" s="1"/>
  <c r="D295" i="9"/>
  <c r="E295" i="9" s="1"/>
  <c r="B295" i="9"/>
  <c r="R223" i="11" l="1"/>
  <c r="C224" i="11" s="1"/>
  <c r="J224" i="11" s="1"/>
  <c r="K224" i="11" s="1"/>
  <c r="I295" i="9"/>
  <c r="J295" i="9" s="1"/>
  <c r="K295" i="9" s="1"/>
  <c r="L295" i="9" s="1"/>
  <c r="S223" i="11" l="1"/>
  <c r="D224" i="11" s="1"/>
  <c r="M224" i="11" s="1"/>
  <c r="N224" i="11" s="1"/>
  <c r="A296" i="9"/>
  <c r="M295" i="9"/>
  <c r="O224" i="11" l="1"/>
  <c r="Q224" i="11" s="1"/>
  <c r="B225" i="11" s="1"/>
  <c r="G225" i="11" s="1"/>
  <c r="B296" i="9"/>
  <c r="D296" i="9"/>
  <c r="E296" i="9" s="1"/>
  <c r="R224" i="11" l="1"/>
  <c r="C225" i="11" s="1"/>
  <c r="J225" i="11" s="1"/>
  <c r="K225" i="11" s="1"/>
  <c r="I296" i="9"/>
  <c r="J296" i="9" s="1"/>
  <c r="K296" i="9" s="1"/>
  <c r="L296" i="9" s="1"/>
  <c r="A297" i="9" s="1"/>
  <c r="S224" i="11" l="1"/>
  <c r="D225" i="11" s="1"/>
  <c r="M225" i="11" s="1"/>
  <c r="N225" i="11" s="1"/>
  <c r="M296" i="9"/>
  <c r="B297" i="9"/>
  <c r="D297" i="9"/>
  <c r="E297" i="9" s="1"/>
  <c r="O225" i="11" l="1"/>
  <c r="Q225" i="11" s="1"/>
  <c r="B226" i="11" s="1"/>
  <c r="G226" i="11" s="1"/>
  <c r="I297" i="9"/>
  <c r="J297" i="9" s="1"/>
  <c r="K297" i="9" s="1"/>
  <c r="L297" i="9" s="1"/>
  <c r="A298" i="9" s="1"/>
  <c r="R225" i="11" l="1"/>
  <c r="C226" i="11" s="1"/>
  <c r="J226" i="11" s="1"/>
  <c r="K226" i="11" s="1"/>
  <c r="M297" i="9"/>
  <c r="B298" i="9"/>
  <c r="D298" i="9"/>
  <c r="E298" i="9" s="1"/>
  <c r="S225" i="11" l="1"/>
  <c r="D226" i="11" s="1"/>
  <c r="M226" i="11" s="1"/>
  <c r="N226" i="11" s="1"/>
  <c r="I298" i="9"/>
  <c r="J298" i="9" s="1"/>
  <c r="K298" i="9" s="1"/>
  <c r="L298" i="9" s="1"/>
  <c r="M298" i="9" s="1"/>
  <c r="O226" i="11" l="1"/>
  <c r="Q226" i="11" s="1"/>
  <c r="A299" i="9"/>
  <c r="D299" i="9" s="1"/>
  <c r="E299" i="9" s="1"/>
  <c r="R226" i="11" l="1"/>
  <c r="C227" i="11" s="1"/>
  <c r="J227" i="11" s="1"/>
  <c r="B227" i="11"/>
  <c r="G227" i="11" s="1"/>
  <c r="B299" i="9"/>
  <c r="I299" i="9" s="1"/>
  <c r="J299" i="9" s="1"/>
  <c r="K299" i="9" s="1"/>
  <c r="L299" i="9" s="1"/>
  <c r="A300" i="9" s="1"/>
  <c r="S226" i="11" l="1"/>
  <c r="D227" i="11" s="1"/>
  <c r="K227" i="11"/>
  <c r="M299" i="9"/>
  <c r="D300" i="9"/>
  <c r="E300" i="9" s="1"/>
  <c r="B300" i="9"/>
  <c r="M227" i="11" l="1"/>
  <c r="N227" i="11" s="1"/>
  <c r="I300" i="9"/>
  <c r="J300" i="9" s="1"/>
  <c r="K300" i="9" s="1"/>
  <c r="L300" i="9" s="1"/>
  <c r="O227" i="11" l="1"/>
  <c r="Q227" i="11" s="1"/>
  <c r="B228" i="11" s="1"/>
  <c r="G228" i="11" s="1"/>
  <c r="A301" i="9"/>
  <c r="M300" i="9"/>
  <c r="R227" i="11" l="1"/>
  <c r="C228" i="11" s="1"/>
  <c r="J228" i="11" s="1"/>
  <c r="K228" i="11" s="1"/>
  <c r="B301" i="9"/>
  <c r="D301" i="9"/>
  <c r="E301" i="9" s="1"/>
  <c r="S227" i="11" l="1"/>
  <c r="D228" i="11" s="1"/>
  <c r="M228" i="11" s="1"/>
  <c r="N228" i="11" s="1"/>
  <c r="I301" i="9"/>
  <c r="J301" i="9" s="1"/>
  <c r="K301" i="9" s="1"/>
  <c r="L301" i="9" s="1"/>
  <c r="A302" i="9" s="1"/>
  <c r="O228" i="11" l="1"/>
  <c r="Q228" i="11" s="1"/>
  <c r="B229" i="11" s="1"/>
  <c r="G229" i="11" s="1"/>
  <c r="M301" i="9"/>
  <c r="D302" i="9"/>
  <c r="E302" i="9" s="1"/>
  <c r="B302" i="9"/>
  <c r="R228" i="11" l="1"/>
  <c r="C229" i="11" s="1"/>
  <c r="J229" i="11" s="1"/>
  <c r="K229" i="11" s="1"/>
  <c r="I302" i="9"/>
  <c r="J302" i="9" s="1"/>
  <c r="K302" i="9" s="1"/>
  <c r="L302" i="9" s="1"/>
  <c r="S228" i="11" l="1"/>
  <c r="D229" i="11" s="1"/>
  <c r="M229" i="11" s="1"/>
  <c r="N229" i="11" s="1"/>
  <c r="A303" i="9"/>
  <c r="M302" i="9"/>
  <c r="O229" i="11" l="1"/>
  <c r="Q229" i="11" s="1"/>
  <c r="B230" i="11" s="1"/>
  <c r="G230" i="11" s="1"/>
  <c r="B303" i="9"/>
  <c r="D303" i="9"/>
  <c r="E303" i="9" s="1"/>
  <c r="R229" i="11" l="1"/>
  <c r="C230" i="11" s="1"/>
  <c r="J230" i="11" s="1"/>
  <c r="K230" i="11" s="1"/>
  <c r="I303" i="9"/>
  <c r="J303" i="9" s="1"/>
  <c r="S229" i="11" l="1"/>
  <c r="D230" i="11" s="1"/>
  <c r="M230" i="11" s="1"/>
  <c r="K303" i="9"/>
  <c r="L303" i="9" s="1"/>
  <c r="A304" i="9" s="1"/>
  <c r="N230" i="11" l="1"/>
  <c r="O230" i="11" s="1"/>
  <c r="M303" i="9"/>
  <c r="B304" i="9"/>
  <c r="D304" i="9"/>
  <c r="E304" i="9" s="1"/>
  <c r="Q230" i="11" l="1"/>
  <c r="B231" i="11" s="1"/>
  <c r="G231" i="11" s="1"/>
  <c r="R230" i="11"/>
  <c r="C231" i="11" s="1"/>
  <c r="J231" i="11" s="1"/>
  <c r="I304" i="9"/>
  <c r="J304" i="9" s="1"/>
  <c r="K304" i="9" s="1"/>
  <c r="L304" i="9" s="1"/>
  <c r="M304" i="9" s="1"/>
  <c r="K231" i="11" l="1"/>
  <c r="S230" i="11"/>
  <c r="D231" i="11" s="1"/>
  <c r="A305" i="9"/>
  <c r="D305" i="9" s="1"/>
  <c r="E305" i="9" s="1"/>
  <c r="M231" i="11" l="1"/>
  <c r="N231" i="11" s="1"/>
  <c r="B305" i="9"/>
  <c r="I305" i="9" s="1"/>
  <c r="J305" i="9" s="1"/>
  <c r="K305" i="9" s="1"/>
  <c r="L305" i="9" s="1"/>
  <c r="A306" i="9" s="1"/>
  <c r="O231" i="11" l="1"/>
  <c r="Q231" i="11" s="1"/>
  <c r="B232" i="11" s="1"/>
  <c r="G232" i="11" s="1"/>
  <c r="M305" i="9"/>
  <c r="B306" i="9"/>
  <c r="D306" i="9"/>
  <c r="E306" i="9" s="1"/>
  <c r="R231" i="11" l="1"/>
  <c r="C232" i="11" s="1"/>
  <c r="J232" i="11" s="1"/>
  <c r="K232" i="11" s="1"/>
  <c r="I306" i="9"/>
  <c r="J306" i="9" s="1"/>
  <c r="K306" i="9" s="1"/>
  <c r="L306" i="9" s="1"/>
  <c r="A307" i="9" s="1"/>
  <c r="S231" i="11" l="1"/>
  <c r="D232" i="11" s="1"/>
  <c r="M232" i="11" s="1"/>
  <c r="N232" i="11" s="1"/>
  <c r="M306" i="9"/>
  <c r="D307" i="9"/>
  <c r="E307" i="9" s="1"/>
  <c r="B307" i="9"/>
  <c r="O232" i="11" l="1"/>
  <c r="Q232" i="11" s="1"/>
  <c r="I307" i="9"/>
  <c r="J307" i="9" s="1"/>
  <c r="K307" i="9" s="1"/>
  <c r="L307" i="9" s="1"/>
  <c r="R232" i="11" l="1"/>
  <c r="C233" i="11" s="1"/>
  <c r="J233" i="11" s="1"/>
  <c r="B233" i="11"/>
  <c r="G233" i="11" s="1"/>
  <c r="A308" i="9"/>
  <c r="M307" i="9"/>
  <c r="S232" i="11" l="1"/>
  <c r="D233" i="11" s="1"/>
  <c r="K233" i="11"/>
  <c r="B308" i="9"/>
  <c r="D308" i="9"/>
  <c r="E308" i="9" s="1"/>
  <c r="M233" i="11" l="1"/>
  <c r="N233" i="11" s="1"/>
  <c r="I308" i="9"/>
  <c r="J308" i="9" s="1"/>
  <c r="K308" i="9" s="1"/>
  <c r="L308" i="9" s="1"/>
  <c r="A309" i="9" s="1"/>
  <c r="O233" i="11" l="1"/>
  <c r="Q233" i="11" s="1"/>
  <c r="M308" i="9"/>
  <c r="D309" i="9"/>
  <c r="E309" i="9" s="1"/>
  <c r="B309" i="9"/>
  <c r="R233" i="11" l="1"/>
  <c r="C234" i="11" s="1"/>
  <c r="J234" i="11" s="1"/>
  <c r="B234" i="11"/>
  <c r="G234" i="11" s="1"/>
  <c r="I309" i="9"/>
  <c r="J309" i="9" s="1"/>
  <c r="K309" i="9" s="1"/>
  <c r="L309" i="9" s="1"/>
  <c r="A310" i="9" s="1"/>
  <c r="S233" i="11" l="1"/>
  <c r="D234" i="11" s="1"/>
  <c r="K234" i="11"/>
  <c r="M309" i="9"/>
  <c r="D310" i="9"/>
  <c r="E310" i="9" s="1"/>
  <c r="B310" i="9"/>
  <c r="M234" i="11" l="1"/>
  <c r="N234" i="11" s="1"/>
  <c r="I310" i="9"/>
  <c r="J310" i="9" s="1"/>
  <c r="K310" i="9" s="1"/>
  <c r="L310" i="9" s="1"/>
  <c r="A311" i="9" s="1"/>
  <c r="O234" i="11" l="1"/>
  <c r="Q234" i="11" s="1"/>
  <c r="B235" i="11" s="1"/>
  <c r="G235" i="11" s="1"/>
  <c r="M310" i="9"/>
  <c r="B311" i="9"/>
  <c r="D311" i="9"/>
  <c r="E311" i="9" s="1"/>
  <c r="R234" i="11" l="1"/>
  <c r="C235" i="11" s="1"/>
  <c r="J235" i="11" s="1"/>
  <c r="K235" i="11" s="1"/>
  <c r="I311" i="9"/>
  <c r="J311" i="9" s="1"/>
  <c r="K311" i="9" s="1"/>
  <c r="L311" i="9" s="1"/>
  <c r="M311" i="9" s="1"/>
  <c r="S234" i="11" l="1"/>
  <c r="D235" i="11" s="1"/>
  <c r="M235" i="11" s="1"/>
  <c r="A312" i="9"/>
  <c r="B312" i="9" s="1"/>
  <c r="N235" i="11" l="1"/>
  <c r="O235" i="11" s="1"/>
  <c r="Q235" i="11" s="1"/>
  <c r="B236" i="11" s="1"/>
  <c r="G236" i="11" s="1"/>
  <c r="D312" i="9"/>
  <c r="E312" i="9" s="1"/>
  <c r="I312" i="9" s="1"/>
  <c r="J312" i="9" s="1"/>
  <c r="K312" i="9" s="1"/>
  <c r="L312" i="9" s="1"/>
  <c r="A313" i="9" s="1"/>
  <c r="R235" i="11" l="1"/>
  <c r="C236" i="11" s="1"/>
  <c r="J236" i="11" s="1"/>
  <c r="K236" i="11" s="1"/>
  <c r="M312" i="9"/>
  <c r="B313" i="9"/>
  <c r="D313" i="9"/>
  <c r="E313" i="9" s="1"/>
  <c r="S235" i="11" l="1"/>
  <c r="D236" i="11" s="1"/>
  <c r="M236" i="11" s="1"/>
  <c r="N236" i="11" s="1"/>
  <c r="I313" i="9"/>
  <c r="J313" i="9" s="1"/>
  <c r="K313" i="9" s="1"/>
  <c r="L313" i="9" s="1"/>
  <c r="A314" i="9" s="1"/>
  <c r="O236" i="11" l="1"/>
  <c r="Q236" i="11" s="1"/>
  <c r="B237" i="11" s="1"/>
  <c r="G237" i="11" s="1"/>
  <c r="M313" i="9"/>
  <c r="D314" i="9"/>
  <c r="E314" i="9" s="1"/>
  <c r="B314" i="9"/>
  <c r="R236" i="11" l="1"/>
  <c r="C237" i="11" s="1"/>
  <c r="J237" i="11" s="1"/>
  <c r="K237" i="11" s="1"/>
  <c r="I314" i="9"/>
  <c r="J314" i="9" s="1"/>
  <c r="K314" i="9" s="1"/>
  <c r="L314" i="9" s="1"/>
  <c r="A315" i="9" s="1"/>
  <c r="S236" i="11" l="1"/>
  <c r="D237" i="11" s="1"/>
  <c r="M237" i="11" s="1"/>
  <c r="M314" i="9"/>
  <c r="D315" i="9"/>
  <c r="E315" i="9" s="1"/>
  <c r="B315" i="9"/>
  <c r="N237" i="11" l="1"/>
  <c r="O237" i="11" s="1"/>
  <c r="Q237" i="11" s="1"/>
  <c r="B238" i="11" s="1"/>
  <c r="G238" i="11" s="1"/>
  <c r="I315" i="9"/>
  <c r="J315" i="9" s="1"/>
  <c r="K315" i="9" s="1"/>
  <c r="L315" i="9" s="1"/>
  <c r="R237" i="11" l="1"/>
  <c r="A316" i="9"/>
  <c r="M315" i="9"/>
  <c r="C238" i="11" l="1"/>
  <c r="J238" i="11" s="1"/>
  <c r="K238" i="11" s="1"/>
  <c r="S237" i="11"/>
  <c r="D238" i="11" s="1"/>
  <c r="B316" i="9"/>
  <c r="D316" i="9"/>
  <c r="E316" i="9" s="1"/>
  <c r="M238" i="11" l="1"/>
  <c r="I316" i="9"/>
  <c r="J316" i="9" s="1"/>
  <c r="K316" i="9" s="1"/>
  <c r="L316" i="9" s="1"/>
  <c r="A317" i="9" s="1"/>
  <c r="N238" i="11" l="1"/>
  <c r="O238" i="11" s="1"/>
  <c r="Q238" i="11" s="1"/>
  <c r="M316" i="9"/>
  <c r="B317" i="9"/>
  <c r="D317" i="9"/>
  <c r="E317" i="9" s="1"/>
  <c r="B239" i="11" l="1"/>
  <c r="G239" i="11" s="1"/>
  <c r="R238" i="11"/>
  <c r="C239" i="11" s="1"/>
  <c r="J239" i="11" s="1"/>
  <c r="I317" i="9"/>
  <c r="J317" i="9" s="1"/>
  <c r="K317" i="9" s="1"/>
  <c r="L317" i="9" s="1"/>
  <c r="M317" i="9" s="1"/>
  <c r="K239" i="11" l="1"/>
  <c r="S238" i="11"/>
  <c r="D239" i="11" s="1"/>
  <c r="A318" i="9"/>
  <c r="B318" i="9" s="1"/>
  <c r="M239" i="11" l="1"/>
  <c r="N239" i="11" s="1"/>
  <c r="D318" i="9"/>
  <c r="E318" i="9" s="1"/>
  <c r="I318" i="9" s="1"/>
  <c r="J318" i="9" s="1"/>
  <c r="K318" i="9" s="1"/>
  <c r="L318" i="9" s="1"/>
  <c r="A319" i="9" s="1"/>
  <c r="O239" i="11" l="1"/>
  <c r="Q239" i="11" s="1"/>
  <c r="B240" i="11" s="1"/>
  <c r="G240" i="11" s="1"/>
  <c r="M318" i="9"/>
  <c r="D319" i="9"/>
  <c r="E319" i="9" s="1"/>
  <c r="B319" i="9"/>
  <c r="R239" i="11" l="1"/>
  <c r="C240" i="11" s="1"/>
  <c r="J240" i="11" s="1"/>
  <c r="K240" i="11" s="1"/>
  <c r="I319" i="9"/>
  <c r="J319" i="9" s="1"/>
  <c r="K319" i="9" s="1"/>
  <c r="L319" i="9" s="1"/>
  <c r="A320" i="9" s="1"/>
  <c r="S239" i="11" l="1"/>
  <c r="D240" i="11" s="1"/>
  <c r="M240" i="11" s="1"/>
  <c r="N240" i="11" s="1"/>
  <c r="M319" i="9"/>
  <c r="B320" i="9"/>
  <c r="D320" i="9"/>
  <c r="E320" i="9" s="1"/>
  <c r="O240" i="11" l="1"/>
  <c r="Q240" i="11" s="1"/>
  <c r="I320" i="9"/>
  <c r="J320" i="9" s="1"/>
  <c r="K320" i="9" s="1"/>
  <c r="L320" i="9" s="1"/>
  <c r="A321" i="9" s="1"/>
  <c r="B241" i="11" l="1"/>
  <c r="G241" i="11" s="1"/>
  <c r="R240" i="11"/>
  <c r="C241" i="11" s="1"/>
  <c r="J241" i="11" s="1"/>
  <c r="M320" i="9"/>
  <c r="D321" i="9"/>
  <c r="E321" i="9" s="1"/>
  <c r="B321" i="9"/>
  <c r="K241" i="11" l="1"/>
  <c r="S240" i="11"/>
  <c r="D241" i="11" s="1"/>
  <c r="I321" i="9"/>
  <c r="J321" i="9" s="1"/>
  <c r="K321" i="9" s="1"/>
  <c r="L321" i="9" s="1"/>
  <c r="A322" i="9" s="1"/>
  <c r="M241" i="11" l="1"/>
  <c r="M321" i="9"/>
  <c r="B322" i="9"/>
  <c r="D322" i="9"/>
  <c r="E322" i="9" s="1"/>
  <c r="N241" i="11" l="1"/>
  <c r="O241" i="11" s="1"/>
  <c r="Q241" i="11" s="1"/>
  <c r="B242" i="11" s="1"/>
  <c r="G242" i="11" s="1"/>
  <c r="I322" i="9"/>
  <c r="J322" i="9" s="1"/>
  <c r="K322" i="9" s="1"/>
  <c r="L322" i="9" s="1"/>
  <c r="M322" i="9" s="1"/>
  <c r="R241" i="11" l="1"/>
  <c r="A323" i="9"/>
  <c r="B323" i="9" s="1"/>
  <c r="C242" i="11" l="1"/>
  <c r="J242" i="11" s="1"/>
  <c r="K242" i="11" s="1"/>
  <c r="S241" i="11"/>
  <c r="D242" i="11" s="1"/>
  <c r="D323" i="9"/>
  <c r="E323" i="9" s="1"/>
  <c r="I323" i="9" s="1"/>
  <c r="J323" i="9" s="1"/>
  <c r="K323" i="9" s="1"/>
  <c r="L323" i="9" s="1"/>
  <c r="A324" i="9" s="1"/>
  <c r="M242" i="11" l="1"/>
  <c r="M323" i="9"/>
  <c r="D324" i="9"/>
  <c r="E324" i="9" s="1"/>
  <c r="B324" i="9"/>
  <c r="N242" i="11" l="1"/>
  <c r="O242" i="11" s="1"/>
  <c r="Q242" i="11" s="1"/>
  <c r="I324" i="9"/>
  <c r="J324" i="9" s="1"/>
  <c r="K324" i="9" s="1"/>
  <c r="L324" i="9" s="1"/>
  <c r="B243" i="11" l="1"/>
  <c r="G243" i="11" s="1"/>
  <c r="R242" i="11"/>
  <c r="C243" i="11" s="1"/>
  <c r="J243" i="11" s="1"/>
  <c r="A325" i="9"/>
  <c r="M324" i="9"/>
  <c r="K243" i="11" l="1"/>
  <c r="S242" i="11"/>
  <c r="D243" i="11" s="1"/>
  <c r="D325" i="9"/>
  <c r="E325" i="9" s="1"/>
  <c r="B325" i="9"/>
  <c r="M243" i="11" l="1"/>
  <c r="N243" i="11" s="1"/>
  <c r="I325" i="9"/>
  <c r="J325" i="9" s="1"/>
  <c r="K325" i="9" s="1"/>
  <c r="L325" i="9" s="1"/>
  <c r="O243" i="11" l="1"/>
  <c r="Q243" i="11" s="1"/>
  <c r="B244" i="11" s="1"/>
  <c r="G244" i="11" s="1"/>
  <c r="A326" i="9"/>
  <c r="M325" i="9"/>
  <c r="R243" i="11" l="1"/>
  <c r="C244" i="11" s="1"/>
  <c r="J244" i="11" s="1"/>
  <c r="K244" i="11" s="1"/>
  <c r="D326" i="9"/>
  <c r="E326" i="9" s="1"/>
  <c r="B326" i="9"/>
  <c r="S243" i="11" l="1"/>
  <c r="D244" i="11" s="1"/>
  <c r="M244" i="11" s="1"/>
  <c r="N244" i="11" s="1"/>
  <c r="O244" i="11" s="1"/>
  <c r="Q244" i="11" s="1"/>
  <c r="B245" i="11" s="1"/>
  <c r="G245" i="11" s="1"/>
  <c r="I326" i="9"/>
  <c r="J326" i="9" s="1"/>
  <c r="K326" i="9" s="1"/>
  <c r="L326" i="9" s="1"/>
  <c r="A327" i="9" s="1"/>
  <c r="R244" i="11" l="1"/>
  <c r="C245" i="11" s="1"/>
  <c r="J245" i="11" s="1"/>
  <c r="K245" i="11" s="1"/>
  <c r="M326" i="9"/>
  <c r="B327" i="9"/>
  <c r="D327" i="9"/>
  <c r="E327" i="9" s="1"/>
  <c r="S244" i="11" l="1"/>
  <c r="D245" i="11" s="1"/>
  <c r="M245" i="11" s="1"/>
  <c r="N245" i="11" s="1"/>
  <c r="I327" i="9"/>
  <c r="J327" i="9" s="1"/>
  <c r="K327" i="9" s="1"/>
  <c r="L327" i="9" s="1"/>
  <c r="M327" i="9" s="1"/>
  <c r="O245" i="11" l="1"/>
  <c r="Q245" i="11" s="1"/>
  <c r="B246" i="11" s="1"/>
  <c r="G246" i="11" s="1"/>
  <c r="A328" i="9"/>
  <c r="D328" i="9" s="1"/>
  <c r="E328" i="9" s="1"/>
  <c r="R245" i="11" l="1"/>
  <c r="C246" i="11" s="1"/>
  <c r="J246" i="11" s="1"/>
  <c r="K246" i="11" s="1"/>
  <c r="B328" i="9"/>
  <c r="I328" i="9" s="1"/>
  <c r="J328" i="9" s="1"/>
  <c r="K328" i="9" s="1"/>
  <c r="L328" i="9" s="1"/>
  <c r="S245" i="11" l="1"/>
  <c r="D246" i="11" s="1"/>
  <c r="M246" i="11" s="1"/>
  <c r="N246" i="11" s="1"/>
  <c r="M328" i="9"/>
  <c r="A329" i="9"/>
  <c r="B329" i="9" s="1"/>
  <c r="O246" i="11" l="1"/>
  <c r="Q246" i="11" s="1"/>
  <c r="B247" i="11" s="1"/>
  <c r="G247" i="11" s="1"/>
  <c r="D329" i="9"/>
  <c r="E329" i="9" s="1"/>
  <c r="I329" i="9" s="1"/>
  <c r="J329" i="9" s="1"/>
  <c r="K329" i="9" s="1"/>
  <c r="L329" i="9" s="1"/>
  <c r="A330" i="9" s="1"/>
  <c r="B330" i="9" s="1"/>
  <c r="R246" i="11" l="1"/>
  <c r="C247" i="11" s="1"/>
  <c r="J247" i="11" s="1"/>
  <c r="K247" i="11" s="1"/>
  <c r="M329" i="9"/>
  <c r="D330" i="9"/>
  <c r="E330" i="9" s="1"/>
  <c r="I330" i="9" s="1"/>
  <c r="S246" i="11" l="1"/>
  <c r="D247" i="11" s="1"/>
  <c r="M247" i="11" s="1"/>
  <c r="N247" i="11" s="1"/>
  <c r="O247" i="11" s="1"/>
  <c r="Q247" i="11" s="1"/>
  <c r="J330" i="9"/>
  <c r="K330" i="9" s="1"/>
  <c r="L330" i="9" s="1"/>
  <c r="B248" i="11" l="1"/>
  <c r="G248" i="11" s="1"/>
  <c r="R247" i="11"/>
  <c r="C248" i="11" s="1"/>
  <c r="J248" i="11" s="1"/>
  <c r="A331" i="9"/>
  <c r="D331" i="9" s="1"/>
  <c r="E331" i="9" s="1"/>
  <c r="M330" i="9"/>
  <c r="S247" i="11" l="1"/>
  <c r="D248" i="11" s="1"/>
  <c r="K248" i="11"/>
  <c r="B331" i="9"/>
  <c r="I331" i="9" s="1"/>
  <c r="M248" i="11" l="1"/>
  <c r="N248" i="11" s="1"/>
  <c r="J331" i="9"/>
  <c r="K331" i="9" s="1"/>
  <c r="L331" i="9" s="1"/>
  <c r="O248" i="11" l="1"/>
  <c r="Q248" i="11" s="1"/>
  <c r="B249" i="11" s="1"/>
  <c r="G249" i="11" s="1"/>
  <c r="A332" i="9"/>
  <c r="D332" i="9" s="1"/>
  <c r="E332" i="9" s="1"/>
  <c r="M331" i="9"/>
  <c r="R248" i="11" l="1"/>
  <c r="C249" i="11" s="1"/>
  <c r="J249" i="11" s="1"/>
  <c r="K249" i="11" s="1"/>
  <c r="B332" i="9"/>
  <c r="I332" i="9" s="1"/>
  <c r="S248" i="11" l="1"/>
  <c r="D249" i="11" s="1"/>
  <c r="M249" i="11" s="1"/>
  <c r="N249" i="11" s="1"/>
  <c r="J332" i="9"/>
  <c r="K332" i="9" s="1"/>
  <c r="L332" i="9" s="1"/>
  <c r="O249" i="11" l="1"/>
  <c r="Q249" i="11" s="1"/>
  <c r="B250" i="11" s="1"/>
  <c r="G250" i="11" s="1"/>
  <c r="A333" i="9"/>
  <c r="D333" i="9" s="1"/>
  <c r="E333" i="9" s="1"/>
  <c r="M332" i="9"/>
  <c r="R249" i="11" l="1"/>
  <c r="C250" i="11" s="1"/>
  <c r="J250" i="11" s="1"/>
  <c r="K250" i="11" s="1"/>
  <c r="B333" i="9"/>
  <c r="I333" i="9" s="1"/>
  <c r="S249" i="11" l="1"/>
  <c r="D250" i="11" s="1"/>
  <c r="M250" i="11" s="1"/>
  <c r="J333" i="9"/>
  <c r="K333" i="9" s="1"/>
  <c r="L333" i="9" s="1"/>
  <c r="N250" i="11" l="1"/>
  <c r="O250" i="11" s="1"/>
  <c r="Q250" i="11" s="1"/>
  <c r="A334" i="9"/>
  <c r="B334" i="9" s="1"/>
  <c r="M333" i="9"/>
  <c r="B251" i="11" l="1"/>
  <c r="G251" i="11" s="1"/>
  <c r="R250" i="11"/>
  <c r="C251" i="11" s="1"/>
  <c r="J251" i="11" s="1"/>
  <c r="D334" i="9"/>
  <c r="E334" i="9" s="1"/>
  <c r="I334" i="9" s="1"/>
  <c r="S250" i="11" l="1"/>
  <c r="D251" i="11" s="1"/>
  <c r="K251" i="11"/>
  <c r="J334" i="9"/>
  <c r="K334" i="9" s="1"/>
  <c r="L334" i="9" s="1"/>
  <c r="M251" i="11" l="1"/>
  <c r="N251" i="11" s="1"/>
  <c r="A335" i="9"/>
  <c r="D335" i="9" s="1"/>
  <c r="E335" i="9" s="1"/>
  <c r="M334" i="9"/>
  <c r="O251" i="11" l="1"/>
  <c r="Q251" i="11" s="1"/>
  <c r="B252" i="11" s="1"/>
  <c r="G252" i="11" s="1"/>
  <c r="B335" i="9"/>
  <c r="I335" i="9" s="1"/>
  <c r="J335" i="9" s="1"/>
  <c r="K335" i="9" s="1"/>
  <c r="L335" i="9" s="1"/>
  <c r="R251" i="11" l="1"/>
  <c r="C252" i="11" s="1"/>
  <c r="J252" i="11" s="1"/>
  <c r="K252" i="11" s="1"/>
  <c r="A336" i="9"/>
  <c r="D336" i="9" s="1"/>
  <c r="E336" i="9" s="1"/>
  <c r="M335" i="9"/>
  <c r="S251" i="11" l="1"/>
  <c r="D252" i="11" s="1"/>
  <c r="M252" i="11" s="1"/>
  <c r="N252" i="11" s="1"/>
  <c r="B336" i="9"/>
  <c r="I336" i="9" s="1"/>
  <c r="O252" i="11" l="1"/>
  <c r="Q252" i="11" s="1"/>
  <c r="B253" i="11" s="1"/>
  <c r="G253" i="11" s="1"/>
  <c r="J336" i="9"/>
  <c r="K336" i="9" s="1"/>
  <c r="L336" i="9" s="1"/>
  <c r="R252" i="11" l="1"/>
  <c r="C253" i="11" s="1"/>
  <c r="J253" i="11" s="1"/>
  <c r="K253" i="11" s="1"/>
  <c r="A337" i="9"/>
  <c r="D337" i="9" s="1"/>
  <c r="E337" i="9" s="1"/>
  <c r="M336" i="9"/>
  <c r="S252" i="11" l="1"/>
  <c r="D253" i="11" s="1"/>
  <c r="M253" i="11" s="1"/>
  <c r="N253" i="11" s="1"/>
  <c r="B337" i="9"/>
  <c r="I337" i="9" s="1"/>
  <c r="O253" i="11" l="1"/>
  <c r="Q253" i="11" s="1"/>
  <c r="B254" i="11" s="1"/>
  <c r="G254" i="11" s="1"/>
  <c r="J337" i="9"/>
  <c r="K337" i="9" s="1"/>
  <c r="L337" i="9" s="1"/>
  <c r="R253" i="11" l="1"/>
  <c r="C254" i="11" s="1"/>
  <c r="J254" i="11" s="1"/>
  <c r="K254" i="11" s="1"/>
  <c r="A338" i="9"/>
  <c r="D338" i="9" s="1"/>
  <c r="E338" i="9" s="1"/>
  <c r="M337" i="9"/>
  <c r="S253" i="11" l="1"/>
  <c r="D254" i="11" s="1"/>
  <c r="M254" i="11" s="1"/>
  <c r="N254" i="11" s="1"/>
  <c r="B338" i="9"/>
  <c r="I338" i="9" s="1"/>
  <c r="O254" i="11" l="1"/>
  <c r="Q254" i="11" s="1"/>
  <c r="B255" i="11" s="1"/>
  <c r="G255" i="11" s="1"/>
  <c r="J338" i="9"/>
  <c r="K338" i="9" s="1"/>
  <c r="L338" i="9" s="1"/>
  <c r="R254" i="11" l="1"/>
  <c r="C255" i="11" s="1"/>
  <c r="J255" i="11" s="1"/>
  <c r="K255" i="11" s="1"/>
  <c r="A339" i="9"/>
  <c r="D339" i="9" s="1"/>
  <c r="E339" i="9" s="1"/>
  <c r="M338" i="9"/>
  <c r="S254" i="11" l="1"/>
  <c r="D255" i="11" s="1"/>
  <c r="M255" i="11" s="1"/>
  <c r="N255" i="11" s="1"/>
  <c r="O255" i="11" s="1"/>
  <c r="Q255" i="11" s="1"/>
  <c r="B339" i="9"/>
  <c r="I339" i="9" s="1"/>
  <c r="J339" i="9" s="1"/>
  <c r="K339" i="9" s="1"/>
  <c r="L339" i="9" s="1"/>
  <c r="B256" i="11" l="1"/>
  <c r="G256" i="11" s="1"/>
  <c r="R255" i="11"/>
  <c r="C256" i="11" s="1"/>
  <c r="J256" i="11" s="1"/>
  <c r="A340" i="9"/>
  <c r="D340" i="9" s="1"/>
  <c r="E340" i="9" s="1"/>
  <c r="M339" i="9"/>
  <c r="S255" i="11" l="1"/>
  <c r="D256" i="11" s="1"/>
  <c r="K256" i="11"/>
  <c r="B340" i="9"/>
  <c r="I340" i="9" s="1"/>
  <c r="J340" i="9" s="1"/>
  <c r="K340" i="9" s="1"/>
  <c r="L340" i="9" s="1"/>
  <c r="M256" i="11" l="1"/>
  <c r="N256" i="11" s="1"/>
  <c r="A341" i="9"/>
  <c r="B341" i="9" s="1"/>
  <c r="M340" i="9"/>
  <c r="O256" i="11" l="1"/>
  <c r="Q256" i="11" s="1"/>
  <c r="B257" i="11" s="1"/>
  <c r="G257" i="11" s="1"/>
  <c r="D341" i="9"/>
  <c r="E341" i="9" s="1"/>
  <c r="I341" i="9" s="1"/>
  <c r="R256" i="11" l="1"/>
  <c r="C257" i="11" s="1"/>
  <c r="J257" i="11" s="1"/>
  <c r="K257" i="11" s="1"/>
  <c r="J341" i="9"/>
  <c r="K341" i="9" s="1"/>
  <c r="L341" i="9" s="1"/>
  <c r="S256" i="11" l="1"/>
  <c r="D257" i="11" s="1"/>
  <c r="M257" i="11" s="1"/>
  <c r="A342" i="9"/>
  <c r="D342" i="9" s="1"/>
  <c r="E342" i="9" s="1"/>
  <c r="M341" i="9"/>
  <c r="N257" i="11" l="1"/>
  <c r="O257" i="11" s="1"/>
  <c r="B342" i="9"/>
  <c r="I342" i="9" s="1"/>
  <c r="Q257" i="11" l="1"/>
  <c r="B258" i="11" s="1"/>
  <c r="G258" i="11" s="1"/>
  <c r="R257" i="11"/>
  <c r="C258" i="11" s="1"/>
  <c r="J258" i="11" s="1"/>
  <c r="J342" i="9"/>
  <c r="K342" i="9" s="1"/>
  <c r="L342" i="9" s="1"/>
  <c r="K258" i="11" l="1"/>
  <c r="S257" i="11"/>
  <c r="D258" i="11" s="1"/>
  <c r="A343" i="9"/>
  <c r="B343" i="9" s="1"/>
  <c r="M342" i="9"/>
  <c r="M258" i="11" l="1"/>
  <c r="N258" i="11" s="1"/>
  <c r="D343" i="9"/>
  <c r="E343" i="9" s="1"/>
  <c r="I343" i="9" s="1"/>
  <c r="J343" i="9" s="1"/>
  <c r="K343" i="9" s="1"/>
  <c r="L343" i="9" s="1"/>
  <c r="O258" i="11" l="1"/>
  <c r="Q258" i="11" s="1"/>
  <c r="B259" i="11" s="1"/>
  <c r="G259" i="11" s="1"/>
  <c r="A344" i="9"/>
  <c r="B344" i="9" s="1"/>
  <c r="M343" i="9"/>
  <c r="R258" i="11" l="1"/>
  <c r="C259" i="11" s="1"/>
  <c r="J259" i="11" s="1"/>
  <c r="K259" i="11" s="1"/>
  <c r="D344" i="9"/>
  <c r="E344" i="9" s="1"/>
  <c r="I344" i="9" s="1"/>
  <c r="S258" i="11" l="1"/>
  <c r="D259" i="11" s="1"/>
  <c r="M259" i="11" s="1"/>
  <c r="N259" i="11" s="1"/>
  <c r="J344" i="9"/>
  <c r="K344" i="9" s="1"/>
  <c r="L344" i="9" s="1"/>
  <c r="O259" i="11" l="1"/>
  <c r="Q259" i="11" s="1"/>
  <c r="B260" i="11" s="1"/>
  <c r="G260" i="11" s="1"/>
  <c r="A345" i="9"/>
  <c r="B345" i="9" s="1"/>
  <c r="M344" i="9"/>
  <c r="R259" i="11" l="1"/>
  <c r="C260" i="11" s="1"/>
  <c r="J260" i="11" s="1"/>
  <c r="K260" i="11" s="1"/>
  <c r="D345" i="9"/>
  <c r="E345" i="9" s="1"/>
  <c r="I345" i="9" s="1"/>
  <c r="S259" i="11" l="1"/>
  <c r="D260" i="11" s="1"/>
  <c r="M260" i="11" s="1"/>
  <c r="J345" i="9"/>
  <c r="K345" i="9" s="1"/>
  <c r="L345" i="9" s="1"/>
  <c r="N260" i="11" l="1"/>
  <c r="O260" i="11" s="1"/>
  <c r="Q260" i="11" s="1"/>
  <c r="B261" i="11" s="1"/>
  <c r="G261" i="11" s="1"/>
  <c r="A346" i="9"/>
  <c r="B346" i="9" s="1"/>
  <c r="M345" i="9"/>
  <c r="R260" i="11" l="1"/>
  <c r="C261" i="11" s="1"/>
  <c r="J261" i="11" s="1"/>
  <c r="K261" i="11" s="1"/>
  <c r="D346" i="9"/>
  <c r="E346" i="9" s="1"/>
  <c r="I346" i="9" s="1"/>
  <c r="S260" i="11" l="1"/>
  <c r="D261" i="11" s="1"/>
  <c r="M261" i="11" s="1"/>
  <c r="J346" i="9"/>
  <c r="K346" i="9" s="1"/>
  <c r="L346" i="9" s="1"/>
  <c r="N261" i="11" l="1"/>
  <c r="O261" i="11" s="1"/>
  <c r="Q261" i="11" s="1"/>
  <c r="B262" i="11" s="1"/>
  <c r="G262" i="11" s="1"/>
  <c r="A347" i="9"/>
  <c r="B347" i="9" s="1"/>
  <c r="M346" i="9"/>
  <c r="R261" i="11" l="1"/>
  <c r="D347" i="9"/>
  <c r="E347" i="9" s="1"/>
  <c r="I347" i="9" s="1"/>
  <c r="C262" i="11" l="1"/>
  <c r="J262" i="11" s="1"/>
  <c r="K262" i="11" s="1"/>
  <c r="S261" i="11"/>
  <c r="D262" i="11" s="1"/>
  <c r="J347" i="9"/>
  <c r="K347" i="9" s="1"/>
  <c r="L347" i="9" s="1"/>
  <c r="M262" i="11" l="1"/>
  <c r="A348" i="9"/>
  <c r="B348" i="9" s="1"/>
  <c r="M347" i="9"/>
  <c r="N262" i="11" l="1"/>
  <c r="O262" i="11" s="1"/>
  <c r="Q262" i="11" s="1"/>
  <c r="D348" i="9"/>
  <c r="E348" i="9" s="1"/>
  <c r="I348" i="9" s="1"/>
  <c r="J348" i="9" s="1"/>
  <c r="K348" i="9" s="1"/>
  <c r="L348" i="9" s="1"/>
  <c r="R262" i="11" l="1"/>
  <c r="C263" i="11" s="1"/>
  <c r="J263" i="11" s="1"/>
  <c r="B263" i="11"/>
  <c r="G263" i="11" s="1"/>
  <c r="A349" i="9"/>
  <c r="D349" i="9" s="1"/>
  <c r="E349" i="9" s="1"/>
  <c r="M348" i="9"/>
  <c r="K263" i="11" l="1"/>
  <c r="S262" i="11"/>
  <c r="D263" i="11" s="1"/>
  <c r="B349" i="9"/>
  <c r="I349" i="9" s="1"/>
  <c r="M263" i="11" l="1"/>
  <c r="N263" i="11" s="1"/>
  <c r="J349" i="9"/>
  <c r="K349" i="9" s="1"/>
  <c r="L349" i="9" s="1"/>
  <c r="O263" i="11" l="1"/>
  <c r="Q263" i="11" s="1"/>
  <c r="B264" i="11" s="1"/>
  <c r="G264" i="11" s="1"/>
  <c r="A350" i="9"/>
  <c r="D350" i="9" s="1"/>
  <c r="E350" i="9" s="1"/>
  <c r="M349" i="9"/>
  <c r="R263" i="11" l="1"/>
  <c r="C264" i="11" s="1"/>
  <c r="J264" i="11" s="1"/>
  <c r="K264" i="11" s="1"/>
  <c r="B350" i="9"/>
  <c r="I350" i="9" s="1"/>
  <c r="J350" i="9" s="1"/>
  <c r="K350" i="9" s="1"/>
  <c r="L350" i="9" s="1"/>
  <c r="S263" i="11" l="1"/>
  <c r="D264" i="11" s="1"/>
  <c r="M264" i="11" s="1"/>
  <c r="N264" i="11" s="1"/>
  <c r="O264" i="11" s="1"/>
  <c r="Q264" i="11" s="1"/>
  <c r="A351" i="9"/>
  <c r="D351" i="9" s="1"/>
  <c r="E351" i="9" s="1"/>
  <c r="M350" i="9"/>
  <c r="B265" i="11" l="1"/>
  <c r="G265" i="11" s="1"/>
  <c r="R264" i="11"/>
  <c r="C265" i="11" s="1"/>
  <c r="J265" i="11" s="1"/>
  <c r="B351" i="9"/>
  <c r="I351" i="9" s="1"/>
  <c r="S264" i="11" l="1"/>
  <c r="D265" i="11" s="1"/>
  <c r="K265" i="11"/>
  <c r="J351" i="9"/>
  <c r="K351" i="9" s="1"/>
  <c r="L351" i="9" s="1"/>
  <c r="M265" i="11" l="1"/>
  <c r="N265" i="11" s="1"/>
  <c r="A352" i="9"/>
  <c r="D352" i="9" s="1"/>
  <c r="E352" i="9" s="1"/>
  <c r="M351" i="9"/>
  <c r="O265" i="11" l="1"/>
  <c r="Q265" i="11" s="1"/>
  <c r="B266" i="11" s="1"/>
  <c r="G266" i="11" s="1"/>
  <c r="B352" i="9"/>
  <c r="I352" i="9" s="1"/>
  <c r="R265" i="11" l="1"/>
  <c r="C266" i="11" s="1"/>
  <c r="J266" i="11" s="1"/>
  <c r="K266" i="11" s="1"/>
  <c r="J352" i="9"/>
  <c r="K352" i="9" s="1"/>
  <c r="L352" i="9" s="1"/>
  <c r="S265" i="11" l="1"/>
  <c r="D266" i="11" s="1"/>
  <c r="M266" i="11" s="1"/>
  <c r="A353" i="9"/>
  <c r="D353" i="9" s="1"/>
  <c r="E353" i="9" s="1"/>
  <c r="M352" i="9"/>
  <c r="N266" i="11" l="1"/>
  <c r="B353" i="9"/>
  <c r="I353" i="9" s="1"/>
  <c r="O266" i="11" l="1"/>
  <c r="Q266" i="11" s="1"/>
  <c r="J353" i="9"/>
  <c r="K353" i="9" s="1"/>
  <c r="L353" i="9" s="1"/>
  <c r="B267" i="11" l="1"/>
  <c r="G267" i="11" s="1"/>
  <c r="R266" i="11"/>
  <c r="C267" i="11" s="1"/>
  <c r="J267" i="11" s="1"/>
  <c r="A354" i="9"/>
  <c r="B354" i="9" s="1"/>
  <c r="M353" i="9"/>
  <c r="S266" i="11" l="1"/>
  <c r="D267" i="11" s="1"/>
  <c r="K267" i="11"/>
  <c r="D354" i="9"/>
  <c r="E354" i="9" s="1"/>
  <c r="I354" i="9" s="1"/>
  <c r="M267" i="11" l="1"/>
  <c r="N267" i="11" s="1"/>
  <c r="J354" i="9"/>
  <c r="K354" i="9" s="1"/>
  <c r="L354" i="9" s="1"/>
  <c r="O267" i="11" l="1"/>
  <c r="Q267" i="11" s="1"/>
  <c r="B268" i="11" s="1"/>
  <c r="G268" i="11" s="1"/>
  <c r="A355" i="9"/>
  <c r="D355" i="9" s="1"/>
  <c r="E355" i="9" s="1"/>
  <c r="M354" i="9"/>
  <c r="R267" i="11" l="1"/>
  <c r="C268" i="11" s="1"/>
  <c r="J268" i="11" s="1"/>
  <c r="K268" i="11" s="1"/>
  <c r="B355" i="9"/>
  <c r="I355" i="9" s="1"/>
  <c r="J355" i="9" s="1"/>
  <c r="K355" i="9" s="1"/>
  <c r="L355" i="9" s="1"/>
  <c r="S267" i="11" l="1"/>
  <c r="D268" i="11" s="1"/>
  <c r="M268" i="11" s="1"/>
  <c r="A356" i="9"/>
  <c r="D356" i="9" s="1"/>
  <c r="E356" i="9" s="1"/>
  <c r="M355" i="9"/>
  <c r="N268" i="11" l="1"/>
  <c r="B356" i="9"/>
  <c r="I356" i="9" s="1"/>
  <c r="J356" i="9" s="1"/>
  <c r="K356" i="9" s="1"/>
  <c r="L356" i="9" s="1"/>
  <c r="O268" i="11" l="1"/>
  <c r="Q268" i="11" s="1"/>
  <c r="A357" i="9"/>
  <c r="B357" i="9" s="1"/>
  <c r="M356" i="9"/>
  <c r="R268" i="11" l="1"/>
  <c r="C269" i="11" s="1"/>
  <c r="J269" i="11" s="1"/>
  <c r="B269" i="11"/>
  <c r="G269" i="11" s="1"/>
  <c r="D357" i="9"/>
  <c r="E357" i="9" s="1"/>
  <c r="I357" i="9" s="1"/>
  <c r="S268" i="11" l="1"/>
  <c r="D269" i="11" s="1"/>
  <c r="K269" i="11"/>
  <c r="M269" i="11" s="1"/>
  <c r="N269" i="11" s="1"/>
  <c r="J357" i="9"/>
  <c r="K357" i="9" s="1"/>
  <c r="L357" i="9" s="1"/>
  <c r="O269" i="11" l="1"/>
  <c r="Q269" i="11" s="1"/>
  <c r="A358" i="9"/>
  <c r="D358" i="9" s="1"/>
  <c r="E358" i="9" s="1"/>
  <c r="M357" i="9"/>
  <c r="R269" i="11" l="1"/>
  <c r="C270" i="11" s="1"/>
  <c r="J270" i="11" s="1"/>
  <c r="B270" i="11"/>
  <c r="G270" i="11" s="1"/>
  <c r="B358" i="9"/>
  <c r="I358" i="9" s="1"/>
  <c r="J358" i="9" s="1"/>
  <c r="K358" i="9" s="1"/>
  <c r="L358" i="9" s="1"/>
  <c r="S269" i="11" l="1"/>
  <c r="D270" i="11" s="1"/>
  <c r="K270" i="11"/>
  <c r="A359" i="9"/>
  <c r="D359" i="9" s="1"/>
  <c r="E359" i="9" s="1"/>
  <c r="M358" i="9"/>
  <c r="M270" i="11" l="1"/>
  <c r="N270" i="11" s="1"/>
  <c r="O270" i="11" s="1"/>
  <c r="Q270" i="11" s="1"/>
  <c r="B271" i="11" s="1"/>
  <c r="G271" i="11" s="1"/>
  <c r="B359" i="9"/>
  <c r="I359" i="9" s="1"/>
  <c r="J359" i="9" s="1"/>
  <c r="K359" i="9" s="1"/>
  <c r="L359" i="9" s="1"/>
  <c r="R270" i="11" l="1"/>
  <c r="C271" i="11" s="1"/>
  <c r="J271" i="11" s="1"/>
  <c r="K271" i="11" s="1"/>
  <c r="A360" i="9"/>
  <c r="D360" i="9" s="1"/>
  <c r="E360" i="9" s="1"/>
  <c r="M359" i="9"/>
  <c r="S270" i="11" l="1"/>
  <c r="D271" i="11" s="1"/>
  <c r="M271" i="11" s="1"/>
  <c r="N271" i="11" s="1"/>
  <c r="B360" i="9"/>
  <c r="I360" i="9" s="1"/>
  <c r="J360" i="9" s="1"/>
  <c r="K360" i="9" s="1"/>
  <c r="L360" i="9" s="1"/>
  <c r="O271" i="11" l="1"/>
  <c r="Q271" i="11" s="1"/>
  <c r="B272" i="11" s="1"/>
  <c r="G272" i="11" s="1"/>
  <c r="R271" i="11"/>
  <c r="C272" i="11" s="1"/>
  <c r="J272" i="11" s="1"/>
  <c r="K272" i="11" s="1"/>
  <c r="A361" i="9"/>
  <c r="D361" i="9" s="1"/>
  <c r="E361" i="9" s="1"/>
  <c r="M360" i="9"/>
  <c r="S271" i="11" l="1"/>
  <c r="D272" i="11" s="1"/>
  <c r="M272" i="11" s="1"/>
  <c r="N272" i="11" s="1"/>
  <c r="O272" i="11" s="1"/>
  <c r="B361" i="9"/>
  <c r="I361" i="9" s="1"/>
  <c r="Q272" i="11" l="1"/>
  <c r="B273" i="11" s="1"/>
  <c r="G273" i="11" s="1"/>
  <c r="R272" i="11"/>
  <c r="C273" i="11" s="1"/>
  <c r="J273" i="11" s="1"/>
  <c r="J361" i="9"/>
  <c r="K361" i="9" s="1"/>
  <c r="L361" i="9" s="1"/>
  <c r="K273" i="11" l="1"/>
  <c r="S272" i="11"/>
  <c r="D273" i="11" s="1"/>
  <c r="M273" i="11" s="1"/>
  <c r="A362" i="9"/>
  <c r="B362" i="9" s="1"/>
  <c r="M361" i="9"/>
  <c r="N273" i="11" l="1"/>
  <c r="O273" i="11" s="1"/>
  <c r="Q273" i="11" s="1"/>
  <c r="D362" i="9"/>
  <c r="E362" i="9" s="1"/>
  <c r="I362" i="9" s="1"/>
  <c r="B274" i="11" l="1"/>
  <c r="G274" i="11" s="1"/>
  <c r="R273" i="11"/>
  <c r="C274" i="11" s="1"/>
  <c r="J274" i="11" s="1"/>
  <c r="J362" i="9"/>
  <c r="K362" i="9" s="1"/>
  <c r="L362" i="9" s="1"/>
  <c r="K274" i="11" l="1"/>
  <c r="S273" i="11"/>
  <c r="D274" i="11" s="1"/>
  <c r="A363" i="9"/>
  <c r="D363" i="9" s="1"/>
  <c r="E363" i="9" s="1"/>
  <c r="M362" i="9"/>
  <c r="M274" i="11" l="1"/>
  <c r="N274" i="11" s="1"/>
  <c r="B363" i="9"/>
  <c r="I363" i="9" s="1"/>
  <c r="O274" i="11" l="1"/>
  <c r="Q274" i="11" s="1"/>
  <c r="B275" i="11" s="1"/>
  <c r="G275" i="11" s="1"/>
  <c r="J363" i="9"/>
  <c r="K363" i="9" s="1"/>
  <c r="L363" i="9" s="1"/>
  <c r="R274" i="11" l="1"/>
  <c r="C275" i="11" s="1"/>
  <c r="J275" i="11" s="1"/>
  <c r="K275" i="11" s="1"/>
  <c r="A364" i="9"/>
  <c r="D364" i="9" s="1"/>
  <c r="E364" i="9" s="1"/>
  <c r="M363" i="9"/>
  <c r="S274" i="11" l="1"/>
  <c r="D275" i="11" s="1"/>
  <c r="M275" i="11" s="1"/>
  <c r="N275" i="11" s="1"/>
  <c r="O275" i="11" s="1"/>
  <c r="Q275" i="11" s="1"/>
  <c r="B276" i="11" s="1"/>
  <c r="G276" i="11" s="1"/>
  <c r="R275" i="11"/>
  <c r="C276" i="11" s="1"/>
  <c r="J276" i="11" s="1"/>
  <c r="K276" i="11" s="1"/>
  <c r="B364" i="9"/>
  <c r="I364" i="9" s="1"/>
  <c r="S275" i="11" l="1"/>
  <c r="D276" i="11" s="1"/>
  <c r="M276" i="11" s="1"/>
  <c r="N276" i="11" s="1"/>
  <c r="J364" i="9"/>
  <c r="K364" i="9" s="1"/>
  <c r="L364" i="9" s="1"/>
  <c r="O276" i="11" l="1"/>
  <c r="Q276" i="11" s="1"/>
  <c r="B277" i="11" s="1"/>
  <c r="G277" i="11" s="1"/>
  <c r="A365" i="9"/>
  <c r="D365" i="9" s="1"/>
  <c r="E365" i="9" s="1"/>
  <c r="M364" i="9"/>
  <c r="R276" i="11" l="1"/>
  <c r="C277" i="11" s="1"/>
  <c r="J277" i="11" s="1"/>
  <c r="K277" i="11" s="1"/>
  <c r="B365" i="9"/>
  <c r="I365" i="9" s="1"/>
  <c r="S276" i="11" l="1"/>
  <c r="D277" i="11" s="1"/>
  <c r="M277" i="11" s="1"/>
  <c r="N277" i="11" s="1"/>
  <c r="O277" i="11" s="1"/>
  <c r="Q277" i="11" s="1"/>
  <c r="J365" i="9"/>
  <c r="K365" i="9" s="1"/>
  <c r="L365" i="9" s="1"/>
  <c r="B278" i="11" l="1"/>
  <c r="G278" i="11" s="1"/>
  <c r="R277" i="11"/>
  <c r="C278" i="11" s="1"/>
  <c r="J278" i="11" s="1"/>
  <c r="A366" i="9"/>
  <c r="D366" i="9" s="1"/>
  <c r="E366" i="9" s="1"/>
  <c r="M365" i="9"/>
  <c r="S277" i="11" l="1"/>
  <c r="D278" i="11" s="1"/>
  <c r="K278" i="11"/>
  <c r="B366" i="9"/>
  <c r="I366" i="9" s="1"/>
  <c r="M278" i="11" l="1"/>
  <c r="N278" i="11" s="1"/>
  <c r="J366" i="9"/>
  <c r="K366" i="9" s="1"/>
  <c r="L366" i="9" s="1"/>
  <c r="O278" i="11" l="1"/>
  <c r="Q278" i="11" s="1"/>
  <c r="B279" i="11" s="1"/>
  <c r="G279" i="11" s="1"/>
  <c r="A367" i="9"/>
  <c r="D367" i="9" s="1"/>
  <c r="E367" i="9" s="1"/>
  <c r="M366" i="9"/>
  <c r="R278" i="11" l="1"/>
  <c r="C279" i="11" s="1"/>
  <c r="J279" i="11" s="1"/>
  <c r="K279" i="11" s="1"/>
  <c r="B367" i="9"/>
  <c r="I367" i="9" s="1"/>
  <c r="J367" i="9" s="1"/>
  <c r="K367" i="9" s="1"/>
  <c r="L367" i="9" s="1"/>
  <c r="S278" i="11" l="1"/>
  <c r="D279" i="11" s="1"/>
  <c r="M279" i="11" s="1"/>
  <c r="N279" i="11" s="1"/>
  <c r="O279" i="11" s="1"/>
  <c r="Q279" i="11" s="1"/>
  <c r="A368" i="9"/>
  <c r="D368" i="9" s="1"/>
  <c r="E368" i="9" s="1"/>
  <c r="M367" i="9"/>
  <c r="B280" i="11" l="1"/>
  <c r="G280" i="11" s="1"/>
  <c r="R279" i="11"/>
  <c r="C280" i="11" s="1"/>
  <c r="J280" i="11" s="1"/>
  <c r="B368" i="9"/>
  <c r="I368" i="9" s="1"/>
  <c r="J368" i="9" s="1"/>
  <c r="K368" i="9" s="1"/>
  <c r="L368" i="9" s="1"/>
  <c r="K280" i="11" l="1"/>
  <c r="S279" i="11"/>
  <c r="D280" i="11" s="1"/>
  <c r="A369" i="9"/>
  <c r="B369" i="9" s="1"/>
  <c r="M368" i="9"/>
  <c r="M280" i="11" l="1"/>
  <c r="N280" i="11" s="1"/>
  <c r="O280" i="11" s="1"/>
  <c r="Q280" i="11" s="1"/>
  <c r="D369" i="9"/>
  <c r="E369" i="9" s="1"/>
  <c r="I369" i="9" s="1"/>
  <c r="J369" i="9" s="1"/>
  <c r="K369" i="9" s="1"/>
  <c r="L369" i="9" s="1"/>
  <c r="B281" i="11" l="1"/>
  <c r="G281" i="11" s="1"/>
  <c r="R280" i="11"/>
  <c r="C281" i="11" s="1"/>
  <c r="J281" i="11" s="1"/>
  <c r="A370" i="9"/>
  <c r="B370" i="9" s="1"/>
  <c r="M369" i="9"/>
  <c r="K281" i="11" l="1"/>
  <c r="S280" i="11"/>
  <c r="D281" i="11" s="1"/>
  <c r="D370" i="9"/>
  <c r="E370" i="9" s="1"/>
  <c r="I370" i="9" s="1"/>
  <c r="M281" i="11" l="1"/>
  <c r="N281" i="11" s="1"/>
  <c r="O281" i="11" s="1"/>
  <c r="Q281" i="11" s="1"/>
  <c r="B282" i="11" s="1"/>
  <c r="G282" i="11" s="1"/>
  <c r="J370" i="9"/>
  <c r="K370" i="9" s="1"/>
  <c r="L370" i="9" s="1"/>
  <c r="R281" i="11" l="1"/>
  <c r="C282" i="11" s="1"/>
  <c r="J282" i="11" s="1"/>
  <c r="K282" i="11" s="1"/>
  <c r="A371" i="9"/>
  <c r="D371" i="9" s="1"/>
  <c r="E371" i="9" s="1"/>
  <c r="M370" i="9"/>
  <c r="S281" i="11" l="1"/>
  <c r="D282" i="11" s="1"/>
  <c r="M282" i="11" s="1"/>
  <c r="N282" i="11" s="1"/>
  <c r="B371" i="9"/>
  <c r="I371" i="9" s="1"/>
  <c r="O282" i="11" l="1"/>
  <c r="Q282" i="11" s="1"/>
  <c r="B283" i="11" s="1"/>
  <c r="G283" i="11" s="1"/>
  <c r="J371" i="9"/>
  <c r="K371" i="9" s="1"/>
  <c r="L371" i="9" s="1"/>
  <c r="R282" i="11" l="1"/>
  <c r="C283" i="11" s="1"/>
  <c r="J283" i="11" s="1"/>
  <c r="K283" i="11" s="1"/>
  <c r="A372" i="9"/>
  <c r="D372" i="9" s="1"/>
  <c r="E372" i="9" s="1"/>
  <c r="M371" i="9"/>
  <c r="S282" i="11" l="1"/>
  <c r="D283" i="11" s="1"/>
  <c r="M283" i="11" s="1"/>
  <c r="N283" i="11" s="1"/>
  <c r="O283" i="11" s="1"/>
  <c r="B372" i="9"/>
  <c r="I372" i="9" s="1"/>
  <c r="J372" i="9" s="1"/>
  <c r="K372" i="9" s="1"/>
  <c r="L372" i="9" s="1"/>
  <c r="Q283" i="11" l="1"/>
  <c r="B284" i="11" s="1"/>
  <c r="G284" i="11" s="1"/>
  <c r="R283" i="11"/>
  <c r="C284" i="11" s="1"/>
  <c r="J284" i="11" s="1"/>
  <c r="A373" i="9"/>
  <c r="B373" i="9" s="1"/>
  <c r="M372" i="9"/>
  <c r="K284" i="11" l="1"/>
  <c r="S283" i="11"/>
  <c r="D284" i="11" s="1"/>
  <c r="D373" i="9"/>
  <c r="E373" i="9" s="1"/>
  <c r="I373" i="9" s="1"/>
  <c r="M284" i="11" l="1"/>
  <c r="N284" i="11" s="1"/>
  <c r="O284" i="11" s="1"/>
  <c r="Q284" i="11" s="1"/>
  <c r="B285" i="11" s="1"/>
  <c r="G285" i="11" s="1"/>
  <c r="J373" i="9"/>
  <c r="K373" i="9" s="1"/>
  <c r="L373" i="9" s="1"/>
  <c r="R284" i="11" l="1"/>
  <c r="C285" i="11" s="1"/>
  <c r="J285" i="11" s="1"/>
  <c r="K285" i="11" s="1"/>
  <c r="A374" i="9"/>
  <c r="D374" i="9" s="1"/>
  <c r="E374" i="9" s="1"/>
  <c r="M373" i="9"/>
  <c r="S284" i="11" l="1"/>
  <c r="D285" i="11" s="1"/>
  <c r="M285" i="11" s="1"/>
  <c r="B374" i="9"/>
  <c r="I374" i="9" s="1"/>
  <c r="J374" i="9" s="1"/>
  <c r="K374" i="9" s="1"/>
  <c r="L374" i="9" s="1"/>
  <c r="N285" i="11" l="1"/>
  <c r="O285" i="11" s="1"/>
  <c r="Q285" i="11" s="1"/>
  <c r="A375" i="9"/>
  <c r="D375" i="9" s="1"/>
  <c r="E375" i="9" s="1"/>
  <c r="M374" i="9"/>
  <c r="B286" i="11" l="1"/>
  <c r="G286" i="11" s="1"/>
  <c r="R285" i="11"/>
  <c r="C286" i="11" s="1"/>
  <c r="J286" i="11" s="1"/>
  <c r="B375" i="9"/>
  <c r="I375" i="9" s="1"/>
  <c r="J375" i="9" s="1"/>
  <c r="K375" i="9" s="1"/>
  <c r="L375" i="9" s="1"/>
  <c r="S285" i="11" l="1"/>
  <c r="D286" i="11" s="1"/>
  <c r="K286" i="11"/>
  <c r="A376" i="9"/>
  <c r="D376" i="9" s="1"/>
  <c r="E376" i="9" s="1"/>
  <c r="M375" i="9"/>
  <c r="M286" i="11" l="1"/>
  <c r="N286" i="11" s="1"/>
  <c r="O286" i="11" s="1"/>
  <c r="Q286" i="11" s="1"/>
  <c r="B376" i="9"/>
  <c r="I376" i="9" s="1"/>
  <c r="B287" i="11" l="1"/>
  <c r="G287" i="11" s="1"/>
  <c r="R286" i="11"/>
  <c r="C287" i="11" s="1"/>
  <c r="J287" i="11" s="1"/>
  <c r="J376" i="9"/>
  <c r="K376" i="9" s="1"/>
  <c r="L376" i="9" s="1"/>
  <c r="S286" i="11" l="1"/>
  <c r="D287" i="11" s="1"/>
  <c r="K287" i="11"/>
  <c r="A377" i="9"/>
  <c r="B377" i="9" s="1"/>
  <c r="M376" i="9"/>
  <c r="M287" i="11" l="1"/>
  <c r="D377" i="9"/>
  <c r="E377" i="9" s="1"/>
  <c r="I377" i="9" s="1"/>
  <c r="J377" i="9" s="1"/>
  <c r="K377" i="9" s="1"/>
  <c r="L377" i="9" s="1"/>
  <c r="N287" i="11" l="1"/>
  <c r="O287" i="11" s="1"/>
  <c r="Q287" i="11" s="1"/>
  <c r="A378" i="9"/>
  <c r="D378" i="9" s="1"/>
  <c r="E378" i="9" s="1"/>
  <c r="M377" i="9"/>
  <c r="B288" i="11" l="1"/>
  <c r="G288" i="11" s="1"/>
  <c r="R287" i="11"/>
  <c r="C288" i="11" s="1"/>
  <c r="J288" i="11" s="1"/>
  <c r="B378" i="9"/>
  <c r="I378" i="9" s="1"/>
  <c r="S287" i="11" l="1"/>
  <c r="D288" i="11" s="1"/>
  <c r="K288" i="11"/>
  <c r="J378" i="9"/>
  <c r="K378" i="9" s="1"/>
  <c r="L378" i="9" s="1"/>
  <c r="M288" i="11" l="1"/>
  <c r="N288" i="11" s="1"/>
  <c r="A379" i="9"/>
  <c r="D379" i="9" s="1"/>
  <c r="E379" i="9" s="1"/>
  <c r="M378" i="9"/>
  <c r="O288" i="11" l="1"/>
  <c r="Q288" i="11" s="1"/>
  <c r="B379" i="9"/>
  <c r="I379" i="9" s="1"/>
  <c r="R288" i="11" l="1"/>
  <c r="C289" i="11" s="1"/>
  <c r="J289" i="11" s="1"/>
  <c r="B289" i="11"/>
  <c r="G289" i="11" s="1"/>
  <c r="J379" i="9"/>
  <c r="K379" i="9" s="1"/>
  <c r="L379" i="9" s="1"/>
  <c r="K289" i="11" l="1"/>
  <c r="S288" i="11"/>
  <c r="D289" i="11" s="1"/>
  <c r="A380" i="9"/>
  <c r="D380" i="9" s="1"/>
  <c r="E380" i="9" s="1"/>
  <c r="M379" i="9"/>
  <c r="M289" i="11" l="1"/>
  <c r="N289" i="11" s="1"/>
  <c r="B380" i="9"/>
  <c r="I380" i="9" s="1"/>
  <c r="O289" i="11" l="1"/>
  <c r="Q289" i="11" s="1"/>
  <c r="B290" i="11" s="1"/>
  <c r="G290" i="11" s="1"/>
  <c r="J380" i="9"/>
  <c r="K380" i="9" s="1"/>
  <c r="L380" i="9" s="1"/>
  <c r="R289" i="11" l="1"/>
  <c r="C290" i="11" s="1"/>
  <c r="J290" i="11" s="1"/>
  <c r="K290" i="11" s="1"/>
  <c r="A381" i="9"/>
  <c r="D381" i="9" s="1"/>
  <c r="E381" i="9" s="1"/>
  <c r="M380" i="9"/>
  <c r="S289" i="11" l="1"/>
  <c r="D290" i="11" s="1"/>
  <c r="M290" i="11" s="1"/>
  <c r="N290" i="11" s="1"/>
  <c r="B381" i="9"/>
  <c r="I381" i="9" s="1"/>
  <c r="J381" i="9" s="1"/>
  <c r="K381" i="9" s="1"/>
  <c r="L381" i="9" s="1"/>
  <c r="O290" i="11" l="1"/>
  <c r="Q290" i="11" s="1"/>
  <c r="A382" i="9"/>
  <c r="D382" i="9" s="1"/>
  <c r="E382" i="9" s="1"/>
  <c r="M381" i="9"/>
  <c r="R290" i="11" l="1"/>
  <c r="C291" i="11" s="1"/>
  <c r="J291" i="11" s="1"/>
  <c r="B291" i="11"/>
  <c r="G291" i="11" s="1"/>
  <c r="B382" i="9"/>
  <c r="I382" i="9" s="1"/>
  <c r="S290" i="11" l="1"/>
  <c r="D291" i="11" s="1"/>
  <c r="K291" i="11"/>
  <c r="J382" i="9"/>
  <c r="K382" i="9" s="1"/>
  <c r="L382" i="9" s="1"/>
  <c r="M291" i="11" l="1"/>
  <c r="N291" i="11" s="1"/>
  <c r="A383" i="9"/>
  <c r="D383" i="9" s="1"/>
  <c r="E383" i="9" s="1"/>
  <c r="M382" i="9"/>
  <c r="O291" i="11" l="1"/>
  <c r="Q291" i="11" s="1"/>
  <c r="B292" i="11" s="1"/>
  <c r="G292" i="11" s="1"/>
  <c r="B383" i="9"/>
  <c r="I383" i="9" s="1"/>
  <c r="R291" i="11" l="1"/>
  <c r="C292" i="11" s="1"/>
  <c r="J292" i="11" s="1"/>
  <c r="K292" i="11" s="1"/>
  <c r="J383" i="9"/>
  <c r="K383" i="9" s="1"/>
  <c r="L383" i="9" s="1"/>
  <c r="S291" i="11" l="1"/>
  <c r="D292" i="11" s="1"/>
  <c r="M292" i="11" s="1"/>
  <c r="N292" i="11" s="1"/>
  <c r="O292" i="11" s="1"/>
  <c r="Q292" i="11" s="1"/>
  <c r="A384" i="9"/>
  <c r="D384" i="9" s="1"/>
  <c r="E384" i="9" s="1"/>
  <c r="M383" i="9"/>
  <c r="R292" i="11" l="1"/>
  <c r="C293" i="11" s="1"/>
  <c r="J293" i="11" s="1"/>
  <c r="B293" i="11"/>
  <c r="G293" i="11" s="1"/>
  <c r="B384" i="9"/>
  <c r="I384" i="9" s="1"/>
  <c r="S292" i="11" l="1"/>
  <c r="D293" i="11" s="1"/>
  <c r="K293" i="11"/>
  <c r="J384" i="9"/>
  <c r="K384" i="9" s="1"/>
  <c r="L384" i="9" s="1"/>
  <c r="M293" i="11" l="1"/>
  <c r="N293" i="11" s="1"/>
  <c r="O293" i="11" s="1"/>
  <c r="Q293" i="11" s="1"/>
  <c r="A385" i="9"/>
  <c r="D385" i="9" s="1"/>
  <c r="E385" i="9" s="1"/>
  <c r="M384" i="9"/>
  <c r="B294" i="11" l="1"/>
  <c r="G294" i="11" s="1"/>
  <c r="R293" i="11"/>
  <c r="C294" i="11" s="1"/>
  <c r="J294" i="11" s="1"/>
  <c r="B385" i="9"/>
  <c r="I385" i="9" s="1"/>
  <c r="K294" i="11" l="1"/>
  <c r="S293" i="11"/>
  <c r="D294" i="11" s="1"/>
  <c r="J385" i="9"/>
  <c r="K385" i="9" s="1"/>
  <c r="L385" i="9" s="1"/>
  <c r="M294" i="11" l="1"/>
  <c r="N294" i="11" s="1"/>
  <c r="A386" i="9"/>
  <c r="D386" i="9" s="1"/>
  <c r="E386" i="9" s="1"/>
  <c r="M385" i="9"/>
  <c r="O294" i="11" l="1"/>
  <c r="Q294" i="11" s="1"/>
  <c r="B386" i="9"/>
  <c r="I386" i="9" s="1"/>
  <c r="R294" i="11" l="1"/>
  <c r="C295" i="11" s="1"/>
  <c r="J295" i="11" s="1"/>
  <c r="B295" i="11"/>
  <c r="G295" i="11" s="1"/>
  <c r="J386" i="9"/>
  <c r="K386" i="9" s="1"/>
  <c r="L386" i="9" s="1"/>
  <c r="S294" i="11" l="1"/>
  <c r="D295" i="11" s="1"/>
  <c r="K295" i="11"/>
  <c r="A387" i="9"/>
  <c r="D387" i="9" s="1"/>
  <c r="E387" i="9" s="1"/>
  <c r="M386" i="9"/>
  <c r="M295" i="11" l="1"/>
  <c r="N295" i="11" s="1"/>
  <c r="B387" i="9"/>
  <c r="I387" i="9" s="1"/>
  <c r="O295" i="11" l="1"/>
  <c r="Q295" i="11" s="1"/>
  <c r="B296" i="11" s="1"/>
  <c r="G296" i="11" s="1"/>
  <c r="J387" i="9"/>
  <c r="K387" i="9" s="1"/>
  <c r="L387" i="9" s="1"/>
  <c r="R295" i="11" l="1"/>
  <c r="C296" i="11" s="1"/>
  <c r="J296" i="11" s="1"/>
  <c r="K296" i="11" s="1"/>
  <c r="A388" i="9"/>
  <c r="D388" i="9" s="1"/>
  <c r="E388" i="9" s="1"/>
  <c r="M387" i="9"/>
  <c r="S295" i="11" l="1"/>
  <c r="D296" i="11" s="1"/>
  <c r="M296" i="11" s="1"/>
  <c r="B388" i="9"/>
  <c r="I388" i="9" s="1"/>
  <c r="N296" i="11" l="1"/>
  <c r="O296" i="11" s="1"/>
  <c r="Q296" i="11" s="1"/>
  <c r="B297" i="11" s="1"/>
  <c r="G297" i="11" s="1"/>
  <c r="J388" i="9"/>
  <c r="K388" i="9" s="1"/>
  <c r="L388" i="9" s="1"/>
  <c r="R296" i="11" l="1"/>
  <c r="C297" i="11" s="1"/>
  <c r="J297" i="11" s="1"/>
  <c r="K297" i="11" s="1"/>
  <c r="A389" i="9"/>
  <c r="D389" i="9" s="1"/>
  <c r="E389" i="9" s="1"/>
  <c r="M388" i="9"/>
  <c r="S296" i="11" l="1"/>
  <c r="D297" i="11" s="1"/>
  <c r="M297" i="11" s="1"/>
  <c r="N297" i="11" s="1"/>
  <c r="B389" i="9"/>
  <c r="I389" i="9" s="1"/>
  <c r="O297" i="11" l="1"/>
  <c r="Q297" i="11" s="1"/>
  <c r="B298" i="11" s="1"/>
  <c r="G298" i="11" s="1"/>
  <c r="J389" i="9"/>
  <c r="K389" i="9" s="1"/>
  <c r="L389" i="9" s="1"/>
  <c r="M389" i="9" s="1"/>
  <c r="R297" i="11" l="1"/>
  <c r="C298" i="11" s="1"/>
  <c r="J298" i="11" s="1"/>
  <c r="K298" i="11" s="1"/>
  <c r="S297" i="11" l="1"/>
  <c r="D298" i="11" s="1"/>
  <c r="M298" i="11" s="1"/>
  <c r="N298" i="11" s="1"/>
  <c r="O298" i="11" l="1"/>
  <c r="Q298" i="11" s="1"/>
  <c r="B299" i="11" s="1"/>
  <c r="G299" i="11" s="1"/>
  <c r="R298" i="11" l="1"/>
  <c r="C299" i="11" s="1"/>
  <c r="J299" i="11" s="1"/>
  <c r="K299" i="11" s="1"/>
  <c r="S298" i="11" l="1"/>
  <c r="D299" i="11" s="1"/>
  <c r="M299" i="11" s="1"/>
  <c r="N299" i="11" s="1"/>
  <c r="O299" i="11" s="1"/>
  <c r="Q299" i="11" l="1"/>
  <c r="B300" i="11" s="1"/>
  <c r="G300" i="11" s="1"/>
  <c r="R299" i="11"/>
  <c r="C300" i="11" s="1"/>
  <c r="J300" i="11" s="1"/>
  <c r="K300" i="11" l="1"/>
  <c r="S299" i="11"/>
  <c r="D300" i="11" s="1"/>
  <c r="M300" i="11" l="1"/>
  <c r="N300" i="11" s="1"/>
  <c r="O300" i="11" l="1"/>
  <c r="Q300" i="11" s="1"/>
  <c r="B301" i="11" s="1"/>
  <c r="G301" i="11" s="1"/>
  <c r="R300" i="11" l="1"/>
  <c r="C301" i="11" s="1"/>
  <c r="J301" i="11" s="1"/>
  <c r="K301" i="11" s="1"/>
  <c r="S300" i="11" l="1"/>
  <c r="D301" i="11" s="1"/>
  <c r="M301" i="11" s="1"/>
  <c r="N301" i="11" s="1"/>
  <c r="O301" i="11" l="1"/>
  <c r="Q301" i="11" s="1"/>
  <c r="R301" i="11" l="1"/>
  <c r="C302" i="11" s="1"/>
  <c r="J302" i="11" s="1"/>
  <c r="B302" i="11"/>
  <c r="G302" i="11" s="1"/>
  <c r="K302" i="11" l="1"/>
  <c r="S301" i="11"/>
  <c r="D302" i="11" s="1"/>
  <c r="M302" i="11" l="1"/>
  <c r="N302" i="11" s="1"/>
  <c r="O302" i="11" l="1"/>
  <c r="Q302" i="11" s="1"/>
  <c r="R302" i="11" l="1"/>
  <c r="C303" i="11" s="1"/>
  <c r="J303" i="11" s="1"/>
  <c r="B303" i="11"/>
  <c r="G303" i="11" s="1"/>
  <c r="S302" i="11" l="1"/>
  <c r="D303" i="11" s="1"/>
  <c r="K303" i="11"/>
  <c r="M303" i="11" l="1"/>
  <c r="N303" i="11" s="1"/>
  <c r="O303" i="11" l="1"/>
  <c r="Q303" i="11" s="1"/>
  <c r="R303" i="11" l="1"/>
  <c r="C304" i="11" s="1"/>
  <c r="J304" i="11" s="1"/>
  <c r="B304" i="11"/>
  <c r="G304" i="11" s="1"/>
  <c r="S303" i="11" l="1"/>
  <c r="D304" i="11" s="1"/>
  <c r="K304" i="11"/>
  <c r="M304" i="11" l="1"/>
  <c r="N304" i="11" s="1"/>
  <c r="O304" i="11" s="1"/>
  <c r="Q304" i="11" s="1"/>
  <c r="B305" i="11" s="1"/>
  <c r="G305" i="11" s="1"/>
  <c r="R304" i="11" l="1"/>
  <c r="C305" i="11" s="1"/>
  <c r="J305" i="11" s="1"/>
  <c r="K305" i="11" s="1"/>
  <c r="S304" i="11" l="1"/>
  <c r="D305" i="11" s="1"/>
  <c r="M305" i="11" s="1"/>
  <c r="N305" i="11" s="1"/>
  <c r="O305" i="11" l="1"/>
  <c r="Q305" i="11" s="1"/>
  <c r="R305" i="11" l="1"/>
  <c r="C306" i="11" s="1"/>
  <c r="J306" i="11" s="1"/>
  <c r="B306" i="11"/>
  <c r="G306" i="11" s="1"/>
  <c r="S305" i="11" l="1"/>
  <c r="D306" i="11" s="1"/>
  <c r="K306" i="11"/>
  <c r="M306" i="11" l="1"/>
  <c r="N306" i="11" s="1"/>
  <c r="O306" i="11" l="1"/>
  <c r="Q306" i="11" s="1"/>
  <c r="B307" i="11" s="1"/>
  <c r="G307" i="11" s="1"/>
  <c r="R306" i="11" l="1"/>
  <c r="C307" i="11" s="1"/>
  <c r="J307" i="11" s="1"/>
  <c r="K307" i="11" s="1"/>
  <c r="S306" i="11" l="1"/>
  <c r="D307" i="11" s="1"/>
  <c r="M307" i="11" s="1"/>
  <c r="N307" i="11" s="1"/>
  <c r="O307" i="11" l="1"/>
  <c r="Q307" i="11" s="1"/>
  <c r="B308" i="11" l="1"/>
  <c r="G308" i="11" s="1"/>
  <c r="R307" i="11"/>
  <c r="C308" i="11" s="1"/>
  <c r="J308" i="11" s="1"/>
  <c r="S307" i="11" l="1"/>
  <c r="D308" i="11" s="1"/>
  <c r="K308" i="11"/>
  <c r="M308" i="11" l="1"/>
  <c r="N308" i="11" l="1"/>
  <c r="O308" i="11" l="1"/>
  <c r="Q308" i="11" s="1"/>
  <c r="R308" i="11" l="1"/>
  <c r="C309" i="11" s="1"/>
  <c r="J309" i="11" s="1"/>
  <c r="B309" i="11"/>
  <c r="G309" i="11" s="1"/>
  <c r="S308" i="11" l="1"/>
  <c r="D309" i="11" s="1"/>
  <c r="K309" i="11"/>
  <c r="M309" i="11" l="1"/>
  <c r="N309" i="11" s="1"/>
  <c r="O309" i="11" l="1"/>
  <c r="Q309" i="11" s="1"/>
  <c r="B310" i="11" s="1"/>
  <c r="G310" i="11" s="1"/>
  <c r="R309" i="11" l="1"/>
  <c r="C310" i="11" s="1"/>
  <c r="J310" i="11" s="1"/>
  <c r="K310" i="11" s="1"/>
  <c r="S309" i="11" l="1"/>
  <c r="D310" i="11" s="1"/>
  <c r="M310" i="11" s="1"/>
  <c r="N310" i="11" l="1"/>
  <c r="O310" i="11" s="1"/>
  <c r="Q310" i="11" s="1"/>
  <c r="B311" i="11" s="1"/>
  <c r="G311" i="11" s="1"/>
  <c r="R310" i="11" l="1"/>
  <c r="C311" i="11" s="1"/>
  <c r="J311" i="11" s="1"/>
  <c r="K311" i="11" s="1"/>
  <c r="S310" i="11" l="1"/>
  <c r="D311" i="11" s="1"/>
  <c r="M311" i="11" s="1"/>
  <c r="N311" i="11" s="1"/>
  <c r="O311" i="11" l="1"/>
  <c r="Q311" i="11" s="1"/>
  <c r="B312" i="11" s="1"/>
  <c r="G312" i="11" s="1"/>
  <c r="R311" i="11" l="1"/>
  <c r="C312" i="11" s="1"/>
  <c r="J312" i="11" s="1"/>
  <c r="K312" i="11" s="1"/>
  <c r="S311" i="11" l="1"/>
  <c r="D312" i="11" s="1"/>
  <c r="M312" i="11" s="1"/>
  <c r="N312" i="11" s="1"/>
  <c r="O312" i="11" l="1"/>
  <c r="Q312" i="11" s="1"/>
  <c r="B313" i="11" s="1"/>
  <c r="G313" i="11" s="1"/>
  <c r="R312" i="11" l="1"/>
  <c r="C313" i="11" s="1"/>
  <c r="J313" i="11" s="1"/>
  <c r="K313" i="11" s="1"/>
  <c r="S312" i="11" l="1"/>
  <c r="D313" i="11" s="1"/>
  <c r="M313" i="11" s="1"/>
  <c r="N313" i="11" s="1"/>
  <c r="O313" i="11" l="1"/>
  <c r="Q313" i="11" s="1"/>
  <c r="B314" i="11" s="1"/>
  <c r="G314" i="11" s="1"/>
  <c r="R313" i="11" l="1"/>
  <c r="C314" i="11" s="1"/>
  <c r="J314" i="11" s="1"/>
  <c r="K314" i="11" s="1"/>
  <c r="S313" i="11" l="1"/>
  <c r="D314" i="11" s="1"/>
  <c r="M314" i="11" s="1"/>
  <c r="N314" i="11" s="1"/>
  <c r="O314" i="11" l="1"/>
  <c r="Q314" i="11" s="1"/>
  <c r="B315" i="11" s="1"/>
  <c r="G315" i="11" s="1"/>
  <c r="R314" i="11" l="1"/>
  <c r="C315" i="11" s="1"/>
  <c r="J315" i="11" s="1"/>
  <c r="K315" i="11" s="1"/>
  <c r="S314" i="11" l="1"/>
  <c r="D315" i="11" s="1"/>
  <c r="M315" i="11" s="1"/>
  <c r="N315" i="11" s="1"/>
  <c r="O315" i="11" l="1"/>
  <c r="Q315" i="11" s="1"/>
  <c r="R315" i="11" l="1"/>
  <c r="C316" i="11" s="1"/>
  <c r="J316" i="11" s="1"/>
  <c r="B316" i="11"/>
  <c r="G316" i="11" s="1"/>
  <c r="S315" i="11" l="1"/>
  <c r="D316" i="11" s="1"/>
  <c r="K316" i="11"/>
  <c r="M316" i="11" l="1"/>
  <c r="N316" i="11" s="1"/>
  <c r="O316" i="11" l="1"/>
  <c r="Q316" i="11" s="1"/>
  <c r="R316" i="11" l="1"/>
  <c r="C317" i="11" s="1"/>
  <c r="J317" i="11" s="1"/>
  <c r="B317" i="11"/>
  <c r="G317" i="11" s="1"/>
  <c r="S316" i="11" l="1"/>
  <c r="D317" i="11" s="1"/>
  <c r="K317" i="11"/>
  <c r="M317" i="11" l="1"/>
  <c r="N317" i="11" s="1"/>
  <c r="O317" i="11" l="1"/>
  <c r="Q317" i="11" s="1"/>
  <c r="B318" i="11" s="1"/>
  <c r="G318" i="11" s="1"/>
  <c r="R317" i="11" l="1"/>
  <c r="C318" i="11" s="1"/>
  <c r="J318" i="11" s="1"/>
  <c r="K318" i="11" s="1"/>
  <c r="S317" i="11" l="1"/>
  <c r="D318" i="11" s="1"/>
  <c r="M318" i="11" s="1"/>
  <c r="N318" i="11" s="1"/>
  <c r="O318" i="11" l="1"/>
  <c r="Q318" i="11" s="1"/>
  <c r="B319" i="11" s="1"/>
  <c r="G319" i="11" s="1"/>
  <c r="R318" i="11" l="1"/>
  <c r="C319" i="11" s="1"/>
  <c r="J319" i="11" s="1"/>
  <c r="K319" i="11" s="1"/>
  <c r="S318" i="11" l="1"/>
  <c r="D319" i="11" s="1"/>
  <c r="M319" i="11" s="1"/>
  <c r="N319" i="11" s="1"/>
  <c r="O319" i="11" l="1"/>
  <c r="Q319" i="11" s="1"/>
  <c r="R319" i="11" l="1"/>
  <c r="C320" i="11" s="1"/>
  <c r="J320" i="11" s="1"/>
  <c r="B320" i="11"/>
  <c r="G320" i="11" s="1"/>
  <c r="S319" i="11" l="1"/>
  <c r="D320" i="11" s="1"/>
  <c r="K320" i="11"/>
  <c r="M320" i="11" l="1"/>
  <c r="N320" i="11" s="1"/>
  <c r="O320" i="11" l="1"/>
  <c r="Q320" i="11" s="1"/>
  <c r="R320" i="11" l="1"/>
  <c r="C321" i="11" s="1"/>
  <c r="J321" i="11" s="1"/>
  <c r="B321" i="11"/>
  <c r="G321" i="11" s="1"/>
  <c r="S320" i="11" l="1"/>
  <c r="D321" i="11" s="1"/>
  <c r="K321" i="11"/>
  <c r="M321" i="11" l="1"/>
  <c r="N321" i="11" s="1"/>
  <c r="O321" i="11" l="1"/>
  <c r="Q321" i="11" s="1"/>
  <c r="B322" i="11" s="1"/>
  <c r="G322" i="11" s="1"/>
  <c r="R321" i="11" l="1"/>
  <c r="C322" i="11" s="1"/>
  <c r="J322" i="11" s="1"/>
  <c r="K322" i="11" s="1"/>
  <c r="S321" i="11" l="1"/>
  <c r="D322" i="11" s="1"/>
  <c r="M322" i="11" s="1"/>
  <c r="N322" i="11" s="1"/>
  <c r="O322" i="11" l="1"/>
  <c r="Q322" i="11" s="1"/>
  <c r="R322" i="11" l="1"/>
  <c r="C323" i="11" s="1"/>
  <c r="J323" i="11" s="1"/>
  <c r="B323" i="11"/>
  <c r="G323" i="11" s="1"/>
  <c r="S322" i="11" l="1"/>
  <c r="D323" i="11" s="1"/>
  <c r="K323" i="11"/>
  <c r="M323" i="11" l="1"/>
  <c r="N323" i="11" s="1"/>
  <c r="O323" i="11" l="1"/>
  <c r="Q323" i="11" s="1"/>
  <c r="R323" i="11" l="1"/>
  <c r="C324" i="11" s="1"/>
  <c r="J324" i="11" s="1"/>
  <c r="B324" i="11"/>
  <c r="G324" i="11" s="1"/>
  <c r="K324" i="11" l="1"/>
  <c r="S323" i="11"/>
  <c r="D324" i="11" s="1"/>
  <c r="M324" i="11" l="1"/>
  <c r="N324" i="11" s="1"/>
  <c r="O324" i="11" l="1"/>
  <c r="Q324" i="11" s="1"/>
  <c r="R324" i="11" l="1"/>
  <c r="C325" i="11" s="1"/>
  <c r="J325" i="11" s="1"/>
  <c r="B325" i="11"/>
  <c r="G325" i="11" s="1"/>
  <c r="S324" i="11" l="1"/>
  <c r="D325" i="11" s="1"/>
  <c r="K325" i="11"/>
  <c r="M325" i="11" l="1"/>
  <c r="N325" i="11" l="1"/>
  <c r="O325" i="11" l="1"/>
  <c r="Q325" i="11" s="1"/>
  <c r="R325" i="11" l="1"/>
  <c r="C326" i="11" s="1"/>
  <c r="J326" i="11" s="1"/>
  <c r="B326" i="11"/>
  <c r="G326" i="11" s="1"/>
  <c r="S325" i="11" l="1"/>
  <c r="D326" i="11" s="1"/>
  <c r="K326" i="11"/>
  <c r="M326" i="11" l="1"/>
  <c r="N326" i="11" l="1"/>
  <c r="O326" i="11" l="1"/>
  <c r="Q326" i="11" s="1"/>
  <c r="R326" i="11" l="1"/>
  <c r="C327" i="11" s="1"/>
  <c r="J327" i="11" s="1"/>
  <c r="B327" i="11"/>
  <c r="G327" i="11" s="1"/>
  <c r="K327" i="11" l="1"/>
  <c r="S326" i="11"/>
  <c r="D327" i="11" s="1"/>
  <c r="M327" i="11" l="1"/>
  <c r="N327" i="11" s="1"/>
  <c r="O327" i="11" l="1"/>
  <c r="Q327" i="11" s="1"/>
  <c r="R327" i="11" l="1"/>
  <c r="C328" i="11" s="1"/>
  <c r="J328" i="11" s="1"/>
  <c r="B328" i="11"/>
  <c r="G328" i="11" s="1"/>
  <c r="S327" i="11" l="1"/>
  <c r="D328" i="11" s="1"/>
  <c r="K328" i="11"/>
  <c r="M328" i="11" l="1"/>
  <c r="N328" i="11" s="1"/>
  <c r="O328" i="11" l="1"/>
  <c r="Q328" i="11" s="1"/>
  <c r="B329" i="11" s="1"/>
  <c r="G329" i="11" s="1"/>
  <c r="R328" i="11" l="1"/>
  <c r="C329" i="11" s="1"/>
  <c r="J329" i="11" s="1"/>
  <c r="K329" i="11" s="1"/>
  <c r="S328" i="11" l="1"/>
  <c r="D329" i="11" s="1"/>
  <c r="M329" i="11" s="1"/>
  <c r="N329" i="11" l="1"/>
  <c r="O329" i="11" l="1"/>
  <c r="Q329" i="11" s="1"/>
  <c r="R329" i="11" l="1"/>
  <c r="C330" i="11" s="1"/>
  <c r="J330" i="11" s="1"/>
  <c r="B330" i="11"/>
  <c r="G330" i="11" s="1"/>
  <c r="K330" i="11" l="1"/>
  <c r="S329" i="11"/>
  <c r="D330" i="11" s="1"/>
  <c r="M330" i="11" l="1"/>
  <c r="N330" i="11" s="1"/>
  <c r="O330" i="11" l="1"/>
  <c r="Q330" i="11" s="1"/>
  <c r="R330" i="11" l="1"/>
  <c r="C331" i="11" s="1"/>
  <c r="J331" i="11" s="1"/>
  <c r="B331" i="11"/>
  <c r="G331" i="11" s="1"/>
  <c r="S330" i="11" l="1"/>
  <c r="D331" i="11" s="1"/>
  <c r="K331" i="11"/>
  <c r="M331" i="11" l="1"/>
  <c r="N331" i="11" l="1"/>
  <c r="O331" i="11" l="1"/>
  <c r="Q331" i="11" s="1"/>
  <c r="R331" i="11" l="1"/>
  <c r="C332" i="11" s="1"/>
  <c r="J332" i="11" s="1"/>
  <c r="B332" i="11"/>
  <c r="G332" i="11" s="1"/>
  <c r="K332" i="11" l="1"/>
  <c r="S331" i="11"/>
  <c r="D332" i="11" s="1"/>
  <c r="M332" i="11" l="1"/>
  <c r="N332" i="11" s="1"/>
  <c r="O332" i="11" l="1"/>
  <c r="Q332" i="11" s="1"/>
  <c r="R332" i="11" l="1"/>
  <c r="C333" i="11" s="1"/>
  <c r="J333" i="11" s="1"/>
  <c r="B333" i="11"/>
  <c r="G333" i="11" s="1"/>
  <c r="S332" i="11" l="1"/>
  <c r="D333" i="11" s="1"/>
  <c r="K333" i="11"/>
  <c r="M333" i="11" l="1"/>
  <c r="N333" i="11" l="1"/>
  <c r="O333" i="11" l="1"/>
  <c r="Q333" i="11" s="1"/>
  <c r="R333" i="11" l="1"/>
  <c r="C334" i="11" s="1"/>
  <c r="J334" i="11" s="1"/>
  <c r="B334" i="11"/>
  <c r="G334" i="11" s="1"/>
  <c r="S333" i="11" l="1"/>
  <c r="D334" i="11" s="1"/>
  <c r="K334" i="11"/>
  <c r="M334" i="11" l="1"/>
  <c r="N334" i="11" s="1"/>
  <c r="O334" i="11" l="1"/>
  <c r="Q334" i="11" s="1"/>
  <c r="R334" i="11" l="1"/>
  <c r="C335" i="11" s="1"/>
  <c r="J335" i="11" s="1"/>
  <c r="B335" i="11"/>
  <c r="G335" i="11" s="1"/>
  <c r="K335" i="11" l="1"/>
  <c r="S334" i="11"/>
  <c r="D335" i="11" s="1"/>
  <c r="M335" i="11" l="1"/>
  <c r="N335" i="11" s="1"/>
  <c r="O335" i="11" l="1"/>
  <c r="Q335" i="11" s="1"/>
  <c r="R335" i="11" l="1"/>
  <c r="C336" i="11" s="1"/>
  <c r="J336" i="11" s="1"/>
  <c r="B336" i="11"/>
  <c r="G336" i="11" s="1"/>
  <c r="S335" i="11" l="1"/>
  <c r="D336" i="11" s="1"/>
  <c r="K336" i="11"/>
  <c r="M336" i="11" l="1"/>
  <c r="N336" i="11" s="1"/>
  <c r="O336" i="11" l="1"/>
  <c r="Q336" i="11" s="1"/>
  <c r="R336" i="11" l="1"/>
  <c r="C337" i="11" s="1"/>
  <c r="J337" i="11" s="1"/>
  <c r="B337" i="11"/>
  <c r="G337" i="11" s="1"/>
  <c r="K337" i="11" l="1"/>
  <c r="S336" i="11"/>
  <c r="D337" i="11" s="1"/>
  <c r="M337" i="11" l="1"/>
  <c r="N337" i="11" s="1"/>
  <c r="O337" i="11" l="1"/>
  <c r="Q337" i="11" s="1"/>
  <c r="R337" i="11" l="1"/>
  <c r="C338" i="11" s="1"/>
  <c r="J338" i="11" s="1"/>
  <c r="B338" i="11"/>
  <c r="G338" i="11" s="1"/>
  <c r="S337" i="11" l="1"/>
  <c r="D338" i="11" s="1"/>
  <c r="K338" i="11"/>
  <c r="M338" i="11" l="1"/>
  <c r="N338" i="11" s="1"/>
  <c r="O338" i="11" l="1"/>
  <c r="Q338" i="11" s="1"/>
  <c r="B339" i="11" s="1"/>
  <c r="G339" i="11" s="1"/>
  <c r="R338" i="11" l="1"/>
  <c r="C339" i="11" s="1"/>
  <c r="J339" i="11" s="1"/>
  <c r="K339" i="11" s="1"/>
  <c r="S338" i="11" l="1"/>
  <c r="D339" i="11" s="1"/>
  <c r="M339" i="11" s="1"/>
  <c r="N339" i="11" s="1"/>
  <c r="O339" i="11" l="1"/>
  <c r="Q339" i="11" s="1"/>
  <c r="R339" i="11" l="1"/>
  <c r="C340" i="11" s="1"/>
  <c r="J340" i="11" s="1"/>
  <c r="B340" i="11"/>
  <c r="G340" i="11" s="1"/>
  <c r="S339" i="11" l="1"/>
  <c r="D340" i="11" s="1"/>
  <c r="K340" i="11"/>
  <c r="M340" i="11" l="1"/>
  <c r="N340" i="11" s="1"/>
  <c r="O340" i="11" l="1"/>
  <c r="Q340" i="11" s="1"/>
  <c r="R340" i="11" l="1"/>
  <c r="C341" i="11" s="1"/>
  <c r="J341" i="11" s="1"/>
  <c r="B341" i="11"/>
  <c r="G341" i="11" s="1"/>
  <c r="S340" i="11" l="1"/>
  <c r="D341" i="11" s="1"/>
  <c r="K341" i="11"/>
  <c r="M341" i="11" l="1"/>
  <c r="N341" i="11" s="1"/>
  <c r="O341" i="11" l="1"/>
  <c r="Q341" i="11" s="1"/>
  <c r="R341" i="11" l="1"/>
  <c r="C342" i="11" s="1"/>
  <c r="J342" i="11" s="1"/>
  <c r="B342" i="11"/>
  <c r="G342" i="11" s="1"/>
  <c r="S341" i="11" l="1"/>
  <c r="D342" i="11" s="1"/>
  <c r="K342" i="11"/>
  <c r="M342" i="11" l="1"/>
  <c r="N342" i="11" s="1"/>
  <c r="O342" i="11" l="1"/>
  <c r="Q342" i="11" s="1"/>
  <c r="R342" i="11" l="1"/>
  <c r="C343" i="11" s="1"/>
  <c r="J343" i="11" s="1"/>
  <c r="B343" i="11"/>
  <c r="G343" i="11" s="1"/>
  <c r="S342" i="11" l="1"/>
  <c r="D343" i="11" s="1"/>
  <c r="K343" i="11"/>
  <c r="M343" i="11" l="1"/>
  <c r="N343" i="11" s="1"/>
  <c r="O343" i="11" l="1"/>
  <c r="Q343" i="11" s="1"/>
  <c r="B344" i="11" s="1"/>
  <c r="G344" i="11" s="1"/>
  <c r="R343" i="11" l="1"/>
  <c r="C344" i="11" s="1"/>
  <c r="J344" i="11" s="1"/>
  <c r="K344" i="11" s="1"/>
  <c r="S343" i="11" l="1"/>
  <c r="D344" i="11" s="1"/>
  <c r="M344" i="11" s="1"/>
  <c r="N344" i="11" s="1"/>
  <c r="O344" i="11" l="1"/>
  <c r="Q344" i="11" s="1"/>
  <c r="R344" i="11" l="1"/>
  <c r="C345" i="11" s="1"/>
  <c r="J345" i="11" s="1"/>
  <c r="B345" i="11"/>
  <c r="G345" i="11" s="1"/>
  <c r="S344" i="11" l="1"/>
  <c r="D345" i="11" s="1"/>
  <c r="K345" i="11"/>
  <c r="M345" i="11" l="1"/>
  <c r="N345" i="11" s="1"/>
  <c r="O345" i="11" l="1"/>
  <c r="Q345" i="11" s="1"/>
  <c r="R345" i="11" l="1"/>
  <c r="C346" i="11" s="1"/>
  <c r="J346" i="11" s="1"/>
  <c r="B346" i="11"/>
  <c r="G346" i="11" s="1"/>
  <c r="S345" i="11" l="1"/>
  <c r="D346" i="11" s="1"/>
  <c r="K346" i="11"/>
  <c r="M346" i="11" l="1"/>
  <c r="N346" i="11" s="1"/>
  <c r="O346" i="11" s="1"/>
  <c r="Q346" i="11" s="1"/>
  <c r="B347" i="11" l="1"/>
  <c r="G347" i="11" s="1"/>
  <c r="R346" i="11"/>
  <c r="C347" i="11" s="1"/>
  <c r="J347" i="11" s="1"/>
  <c r="K347" i="11" s="1"/>
  <c r="S346" i="11" l="1"/>
  <c r="D347" i="11" s="1"/>
  <c r="M347" i="11" s="1"/>
  <c r="N347" i="11" l="1"/>
  <c r="O347" i="11" s="1"/>
  <c r="Q347" i="11" s="1"/>
  <c r="B348" i="11" l="1"/>
  <c r="G348" i="11" s="1"/>
  <c r="R347" i="11"/>
  <c r="C348" i="11" s="1"/>
  <c r="J348" i="11" s="1"/>
  <c r="S347" i="11" l="1"/>
  <c r="D348" i="11" s="1"/>
  <c r="K348" i="11"/>
  <c r="M348" i="11" l="1"/>
  <c r="N348" i="11" l="1"/>
  <c r="O348" i="11" l="1"/>
  <c r="Q348" i="11" s="1"/>
  <c r="B349" i="11" l="1"/>
  <c r="G349" i="11" s="1"/>
  <c r="R348" i="11"/>
  <c r="C349" i="11" s="1"/>
  <c r="J349" i="11" s="1"/>
  <c r="K349" i="11" l="1"/>
  <c r="S348" i="11"/>
  <c r="D349" i="11" s="1"/>
  <c r="M349" i="11" l="1"/>
  <c r="N349" i="11" s="1"/>
  <c r="O349" i="11" s="1"/>
  <c r="Q349" i="11" s="1"/>
  <c r="B350" i="11" l="1"/>
  <c r="G350" i="11" s="1"/>
  <c r="R349" i="11"/>
  <c r="C350" i="11" s="1"/>
  <c r="J350" i="11" s="1"/>
  <c r="S349" i="11" l="1"/>
  <c r="D350" i="11" s="1"/>
  <c r="K350" i="11"/>
  <c r="M350" i="11" l="1"/>
  <c r="N350" i="11" l="1"/>
  <c r="O350" i="11" s="1"/>
  <c r="Q350" i="11" s="1"/>
  <c r="B351" i="11" l="1"/>
  <c r="G351" i="11" s="1"/>
  <c r="R350" i="11"/>
  <c r="C351" i="11" s="1"/>
  <c r="J351" i="11" s="1"/>
  <c r="K351" i="11" s="1"/>
  <c r="S350" i="11" l="1"/>
  <c r="D351" i="11" s="1"/>
  <c r="M351" i="11" s="1"/>
  <c r="N351" i="11" l="1"/>
  <c r="O351" i="11" l="1"/>
  <c r="Q351" i="11" s="1"/>
  <c r="B352" i="11" l="1"/>
  <c r="G352" i="11" s="1"/>
  <c r="R351" i="11"/>
  <c r="C352" i="11" s="1"/>
  <c r="J352" i="11" s="1"/>
  <c r="S351" i="11" l="1"/>
  <c r="D352" i="11" s="1"/>
  <c r="K352" i="11"/>
  <c r="M352" i="11" l="1"/>
  <c r="N352" i="11" s="1"/>
  <c r="O352" i="11" s="1"/>
  <c r="Q352" i="11" s="1"/>
  <c r="B353" i="11" l="1"/>
  <c r="G353" i="11" s="1"/>
  <c r="R352" i="11"/>
  <c r="C353" i="11" s="1"/>
  <c r="J353" i="11" s="1"/>
  <c r="K353" i="11" l="1"/>
  <c r="S352" i="11"/>
  <c r="D353" i="11" s="1"/>
  <c r="M353" i="11" l="1"/>
  <c r="N353" i="11" s="1"/>
  <c r="O353" i="11" s="1"/>
  <c r="Q353" i="11" s="1"/>
  <c r="R353" i="11" l="1"/>
  <c r="C354" i="11" s="1"/>
  <c r="J354" i="11" s="1"/>
  <c r="B354" i="11"/>
  <c r="G354" i="11" s="1"/>
  <c r="S353" i="11" l="1"/>
  <c r="D354" i="11" s="1"/>
  <c r="K354" i="11"/>
  <c r="M354" i="11" l="1"/>
  <c r="N354" i="11" s="1"/>
  <c r="O354" i="11" l="1"/>
  <c r="Q354" i="11" s="1"/>
  <c r="B355" i="11" s="1"/>
  <c r="G355" i="11" s="1"/>
  <c r="R354" i="11" l="1"/>
  <c r="C355" i="11" s="1"/>
  <c r="J355" i="11" s="1"/>
  <c r="K355" i="11" s="1"/>
  <c r="S354" i="11" l="1"/>
  <c r="D355" i="11" s="1"/>
  <c r="M355" i="11" s="1"/>
  <c r="N355" i="11" s="1"/>
  <c r="O355" i="11" s="1"/>
  <c r="Q355" i="11" s="1"/>
  <c r="B356" i="11" l="1"/>
  <c r="G356" i="11" s="1"/>
  <c r="R355" i="11"/>
  <c r="C356" i="11" s="1"/>
  <c r="J356" i="11" s="1"/>
  <c r="S355" i="11" l="1"/>
  <c r="D356" i="11" s="1"/>
  <c r="K356" i="11"/>
  <c r="M356" i="11" l="1"/>
  <c r="N356" i="11" l="1"/>
  <c r="O356" i="11" s="1"/>
  <c r="Q356" i="11" s="1"/>
  <c r="B357" i="11" l="1"/>
  <c r="G357" i="11" s="1"/>
  <c r="R356" i="11"/>
  <c r="C357" i="11" s="1"/>
  <c r="J357" i="11" s="1"/>
  <c r="K357" i="11" l="1"/>
  <c r="S356" i="11"/>
  <c r="D357" i="11" s="1"/>
  <c r="M357" i="11" l="1"/>
  <c r="N357" i="11" s="1"/>
  <c r="O357" i="11" s="1"/>
  <c r="Q357" i="11" s="1"/>
  <c r="B358" i="11" l="1"/>
  <c r="G358" i="11" s="1"/>
  <c r="R357" i="11"/>
  <c r="C358" i="11" s="1"/>
  <c r="J358" i="11" s="1"/>
  <c r="K358" i="11" l="1"/>
  <c r="S357" i="11"/>
  <c r="D358" i="11" s="1"/>
  <c r="M358" i="11" l="1"/>
  <c r="N358" i="11" s="1"/>
  <c r="O358" i="11" s="1"/>
  <c r="Q358" i="11" s="1"/>
  <c r="B359" i="11" l="1"/>
  <c r="G359" i="11" s="1"/>
  <c r="R358" i="11"/>
  <c r="C359" i="11" s="1"/>
  <c r="J359" i="11" s="1"/>
  <c r="K359" i="11" l="1"/>
  <c r="S358" i="11"/>
  <c r="D359" i="11" s="1"/>
  <c r="M359" i="11" l="1"/>
  <c r="N359" i="11" s="1"/>
  <c r="O359" i="11" s="1"/>
  <c r="Q359" i="11" s="1"/>
  <c r="B360" i="11" l="1"/>
  <c r="G360" i="11" s="1"/>
  <c r="R359" i="11"/>
  <c r="C360" i="11" s="1"/>
  <c r="J360" i="11" s="1"/>
  <c r="S359" i="11" l="1"/>
  <c r="D360" i="11" s="1"/>
  <c r="K360" i="11"/>
  <c r="M360" i="11" l="1"/>
  <c r="N360" i="11" s="1"/>
  <c r="O360" i="11" l="1"/>
  <c r="Q360" i="11" s="1"/>
  <c r="B361" i="11" s="1"/>
  <c r="G361" i="11" s="1"/>
  <c r="R360" i="11" l="1"/>
  <c r="C361" i="11" s="1"/>
  <c r="J361" i="11" s="1"/>
  <c r="K361" i="11" s="1"/>
  <c r="S360" i="11" l="1"/>
  <c r="D361" i="11" s="1"/>
  <c r="M361" i="11" s="1"/>
  <c r="N361" i="11" s="1"/>
  <c r="O361" i="11" s="1"/>
  <c r="Q361" i="11" s="1"/>
  <c r="R361" i="11" l="1"/>
  <c r="C362" i="11" s="1"/>
  <c r="J362" i="11" s="1"/>
  <c r="B362" i="11"/>
  <c r="G362" i="11" s="1"/>
  <c r="S361" i="11" l="1"/>
  <c r="D362" i="11" s="1"/>
  <c r="K362" i="11"/>
  <c r="M362" i="11" l="1"/>
  <c r="N362" i="11" s="1"/>
  <c r="O362" i="11" s="1"/>
  <c r="Q362" i="11" s="1"/>
  <c r="B363" i="11" s="1"/>
  <c r="G363" i="11" s="1"/>
  <c r="R362" i="11" l="1"/>
  <c r="C363" i="11" s="1"/>
  <c r="J363" i="11" s="1"/>
  <c r="K363" i="11" s="1"/>
  <c r="S362" i="11" l="1"/>
  <c r="D363" i="11" s="1"/>
  <c r="M363" i="11" s="1"/>
  <c r="N363" i="11" s="1"/>
  <c r="O363" i="11" s="1"/>
  <c r="Q363" i="11" s="1"/>
  <c r="B364" i="11" l="1"/>
  <c r="G364" i="11" s="1"/>
  <c r="R363" i="11"/>
  <c r="C364" i="11" s="1"/>
  <c r="J364" i="11" s="1"/>
  <c r="K364" i="11" l="1"/>
  <c r="S363" i="11"/>
  <c r="D364" i="11" s="1"/>
  <c r="M364" i="11" l="1"/>
  <c r="N364" i="11" s="1"/>
  <c r="O364" i="11" l="1"/>
  <c r="Q364" i="11" s="1"/>
  <c r="B365" i="11" l="1"/>
  <c r="G365" i="11" s="1"/>
  <c r="R364" i="11"/>
  <c r="C365" i="11" s="1"/>
  <c r="J365" i="11" s="1"/>
  <c r="K365" i="11" s="1"/>
  <c r="S364" i="11" l="1"/>
  <c r="D365" i="11" s="1"/>
  <c r="M365" i="11" s="1"/>
  <c r="N365" i="11" l="1"/>
  <c r="O365" i="11" s="1"/>
  <c r="Q365" i="11" s="1"/>
  <c r="B366" i="11" l="1"/>
  <c r="G366" i="11" s="1"/>
  <c r="R365" i="11"/>
  <c r="C366" i="11" s="1"/>
  <c r="J366" i="11" s="1"/>
  <c r="K366" i="11" l="1"/>
  <c r="S365" i="11"/>
  <c r="D366" i="11" s="1"/>
  <c r="M366" i="11" l="1"/>
  <c r="N366" i="11" s="1"/>
  <c r="O366" i="11" l="1"/>
  <c r="Q366" i="11" s="1"/>
  <c r="R366" i="11" l="1"/>
  <c r="C367" i="11" s="1"/>
  <c r="J367" i="11" s="1"/>
  <c r="B367" i="11"/>
  <c r="G367" i="11" s="1"/>
  <c r="S366" i="11" l="1"/>
  <c r="D367" i="11" s="1"/>
  <c r="K367" i="11"/>
  <c r="M367" i="11" l="1"/>
  <c r="N367" i="11" s="1"/>
  <c r="O367" i="11" s="1"/>
  <c r="Q367" i="11" s="1"/>
  <c r="B368" i="11" l="1"/>
  <c r="G368" i="11" s="1"/>
  <c r="R367" i="11"/>
  <c r="C368" i="11" s="1"/>
  <c r="J368" i="11" s="1"/>
  <c r="K368" i="11" l="1"/>
  <c r="S367" i="11"/>
  <c r="D368" i="11" s="1"/>
  <c r="M368" i="11" s="1"/>
  <c r="N368" i="11" l="1"/>
  <c r="O368" i="11" s="1"/>
  <c r="Q368" i="11" s="1"/>
  <c r="B369" i="11" l="1"/>
  <c r="G369" i="11" s="1"/>
  <c r="R368" i="11"/>
  <c r="C369" i="11" s="1"/>
  <c r="J369" i="11" s="1"/>
  <c r="K369" i="11" l="1"/>
  <c r="S368" i="11"/>
  <c r="D369" i="11" s="1"/>
  <c r="M369" i="11" l="1"/>
  <c r="N369" i="11" s="1"/>
  <c r="O369" i="11" l="1"/>
  <c r="Q369" i="11" s="1"/>
  <c r="B370" i="11" l="1"/>
  <c r="G370" i="11" s="1"/>
  <c r="R369" i="11"/>
  <c r="C370" i="11" s="1"/>
  <c r="J370" i="11" s="1"/>
  <c r="K370" i="11" l="1"/>
  <c r="S369" i="11"/>
  <c r="D370" i="11" s="1"/>
  <c r="M370" i="11" l="1"/>
  <c r="N370" i="11" s="1"/>
  <c r="O370" i="11" s="1"/>
  <c r="Q370" i="11" s="1"/>
  <c r="B371" i="11" l="1"/>
  <c r="G371" i="11" s="1"/>
  <c r="R370" i="11"/>
  <c r="C371" i="11" s="1"/>
  <c r="J371" i="11" s="1"/>
  <c r="K371" i="11" l="1"/>
  <c r="S370" i="11"/>
  <c r="D371" i="11" s="1"/>
  <c r="M371" i="11" l="1"/>
  <c r="N371" i="11" l="1"/>
  <c r="O371" i="11" l="1"/>
  <c r="Q371" i="11" s="1"/>
  <c r="B372" i="11" l="1"/>
  <c r="G372" i="11" s="1"/>
  <c r="R371" i="11"/>
  <c r="C372" i="11" s="1"/>
  <c r="J372" i="11" s="1"/>
  <c r="K372" i="11" l="1"/>
  <c r="S371" i="11"/>
  <c r="D372" i="11" s="1"/>
  <c r="M372" i="11" l="1"/>
  <c r="N372" i="11" s="1"/>
  <c r="O372" i="11" s="1"/>
  <c r="Q372" i="11" s="1"/>
  <c r="B373" i="11" l="1"/>
  <c r="G373" i="11" s="1"/>
  <c r="R372" i="11"/>
  <c r="C373" i="11" s="1"/>
  <c r="J373" i="11" s="1"/>
  <c r="S372" i="11" l="1"/>
  <c r="D373" i="11" s="1"/>
  <c r="K373" i="11"/>
  <c r="M373" i="11" l="1"/>
  <c r="N373" i="11" s="1"/>
  <c r="O373" i="11" l="1"/>
  <c r="Q373" i="11" s="1"/>
  <c r="B374" i="11" s="1"/>
  <c r="G374" i="11" s="1"/>
  <c r="R373" i="11" l="1"/>
  <c r="C374" i="11" s="1"/>
  <c r="J374" i="11" s="1"/>
  <c r="K374" i="11" s="1"/>
  <c r="S373" i="11" l="1"/>
  <c r="D374" i="11" s="1"/>
  <c r="M374" i="11" s="1"/>
  <c r="N374" i="11" s="1"/>
  <c r="O374" i="11" l="1"/>
  <c r="Q374" i="11" s="1"/>
  <c r="B375" i="11" l="1"/>
  <c r="G375" i="11" s="1"/>
  <c r="R374" i="11"/>
  <c r="C375" i="11" s="1"/>
  <c r="J375" i="11" s="1"/>
  <c r="K375" i="11" l="1"/>
  <c r="S374" i="11"/>
  <c r="D375" i="11" s="1"/>
  <c r="M375" i="11" l="1"/>
  <c r="N375" i="11" s="1"/>
  <c r="O375" i="11" s="1"/>
  <c r="Q375" i="11" s="1"/>
  <c r="B376" i="11" l="1"/>
  <c r="G376" i="11" s="1"/>
  <c r="R375" i="11"/>
  <c r="C376" i="11" s="1"/>
  <c r="J376" i="11" s="1"/>
  <c r="K376" i="11" l="1"/>
  <c r="S375" i="11"/>
  <c r="D376" i="11" s="1"/>
  <c r="M376" i="11" l="1"/>
  <c r="N376" i="11" s="1"/>
  <c r="O376" i="11" s="1"/>
  <c r="Q376" i="11" s="1"/>
  <c r="B377" i="11" l="1"/>
  <c r="G377" i="11" s="1"/>
  <c r="R376" i="11"/>
  <c r="C377" i="11" s="1"/>
  <c r="J377" i="11" s="1"/>
  <c r="S376" i="11" l="1"/>
  <c r="D377" i="11" s="1"/>
  <c r="K377" i="11"/>
  <c r="M377" i="11" l="1"/>
  <c r="N377" i="11" s="1"/>
  <c r="O377" i="11" l="1"/>
  <c r="Q377" i="11" s="1"/>
  <c r="B378" i="11" l="1"/>
  <c r="G378" i="11" s="1"/>
  <c r="R377" i="11"/>
  <c r="C378" i="11" s="1"/>
  <c r="J378" i="11" s="1"/>
  <c r="S377" i="11" l="1"/>
  <c r="D378" i="11" s="1"/>
  <c r="K378" i="11"/>
  <c r="M378" i="11" l="1"/>
  <c r="N378" i="11" s="1"/>
  <c r="O378" i="11" s="1"/>
  <c r="Q378" i="11" s="1"/>
  <c r="B379" i="11" l="1"/>
  <c r="G379" i="11" s="1"/>
  <c r="R378" i="11"/>
  <c r="C379" i="11" s="1"/>
  <c r="J379" i="11" s="1"/>
  <c r="S378" i="11" l="1"/>
  <c r="D379" i="11" s="1"/>
  <c r="K379" i="11"/>
  <c r="M379" i="11" l="1"/>
  <c r="N379" i="11" l="1"/>
  <c r="O379" i="11" s="1"/>
  <c r="Q379" i="11" s="1"/>
  <c r="B380" i="11" l="1"/>
  <c r="G380" i="11" s="1"/>
  <c r="R379" i="11"/>
  <c r="C380" i="11" s="1"/>
  <c r="J380" i="11" s="1"/>
  <c r="K380" i="11" l="1"/>
  <c r="S379" i="11"/>
  <c r="D380" i="11" s="1"/>
  <c r="M380" i="11" l="1"/>
  <c r="N380" i="11" s="1"/>
  <c r="O380" i="11" s="1"/>
  <c r="Q380" i="11" s="1"/>
  <c r="B381" i="11" l="1"/>
  <c r="G381" i="11" s="1"/>
  <c r="R380" i="11"/>
  <c r="C381" i="11" s="1"/>
  <c r="J381" i="11" s="1"/>
  <c r="S380" i="11" l="1"/>
  <c r="D381" i="11" s="1"/>
  <c r="K381" i="11"/>
  <c r="M381" i="11" l="1"/>
  <c r="N381" i="11" l="1"/>
  <c r="O381" i="11" l="1"/>
  <c r="Q381" i="11" s="1"/>
  <c r="R381" i="11" l="1"/>
  <c r="C382" i="11" s="1"/>
  <c r="J382" i="11" s="1"/>
  <c r="B382" i="11"/>
  <c r="G382" i="11" s="1"/>
  <c r="K382" i="11" l="1"/>
  <c r="S381" i="11"/>
  <c r="D382" i="11" s="1"/>
  <c r="M382" i="11" l="1"/>
  <c r="N382" i="11" s="1"/>
  <c r="O382" i="11" s="1"/>
  <c r="Q382" i="11" s="1"/>
  <c r="B383" i="11" l="1"/>
  <c r="G383" i="11" s="1"/>
  <c r="R382" i="11"/>
  <c r="C383" i="11" s="1"/>
  <c r="J383" i="11" s="1"/>
  <c r="S382" i="11" l="1"/>
  <c r="D383" i="11" s="1"/>
  <c r="K383" i="11"/>
  <c r="M383" i="11" l="1"/>
  <c r="N383" i="11" s="1"/>
  <c r="O383" i="11" l="1"/>
  <c r="Q383" i="11" s="1"/>
  <c r="B384" i="11" l="1"/>
  <c r="G384" i="11" s="1"/>
  <c r="R383" i="11"/>
  <c r="C384" i="11" s="1"/>
  <c r="J384" i="11" s="1"/>
  <c r="K384" i="11" l="1"/>
  <c r="S383" i="11"/>
  <c r="D384" i="11" s="1"/>
  <c r="M384" i="11" l="1"/>
  <c r="N384" i="11" s="1"/>
  <c r="O384" i="11" l="1"/>
  <c r="Q384" i="11" s="1"/>
  <c r="R384" i="11" l="1"/>
  <c r="C385" i="11" s="1"/>
  <c r="J385" i="11" s="1"/>
  <c r="B385" i="11"/>
  <c r="G385" i="11" s="1"/>
  <c r="S384" i="11" l="1"/>
  <c r="D385" i="11" s="1"/>
  <c r="K385" i="11"/>
  <c r="M385" i="11" l="1"/>
  <c r="N385" i="11" s="1"/>
  <c r="O385" i="11" l="1"/>
  <c r="Q385" i="11" s="1"/>
  <c r="B386" i="11" l="1"/>
  <c r="G386" i="11" s="1"/>
  <c r="R385" i="11"/>
  <c r="C386" i="11" s="1"/>
  <c r="J386" i="11" s="1"/>
  <c r="S385" i="11" l="1"/>
  <c r="D386" i="11" s="1"/>
  <c r="K386" i="11"/>
  <c r="M386" i="11" l="1"/>
  <c r="N386" i="11" s="1"/>
  <c r="O386" i="11" l="1"/>
  <c r="Q386" i="11" s="1"/>
  <c r="B387" i="11" s="1"/>
  <c r="G387" i="11" s="1"/>
  <c r="R386" i="11" l="1"/>
  <c r="C387" i="11" s="1"/>
  <c r="J387" i="11" s="1"/>
  <c r="K387" i="11" s="1"/>
  <c r="S386" i="11" l="1"/>
  <c r="D387" i="11" s="1"/>
  <c r="M387" i="11" s="1"/>
  <c r="N387" i="11" l="1"/>
  <c r="O387" i="11" s="1"/>
  <c r="Q387" i="11" s="1"/>
  <c r="B388" i="11" s="1"/>
  <c r="G388" i="11" s="1"/>
  <c r="R387" i="11" l="1"/>
  <c r="C388" i="11" s="1"/>
  <c r="J388" i="11" s="1"/>
  <c r="K388" i="11" s="1"/>
  <c r="S387" i="11" l="1"/>
  <c r="D388" i="11" s="1"/>
  <c r="M388" i="11" s="1"/>
  <c r="N388" i="11" s="1"/>
  <c r="O388" i="11" s="1"/>
  <c r="Q388" i="11" s="1"/>
  <c r="B389" i="11" l="1"/>
  <c r="G389" i="11" s="1"/>
  <c r="R388" i="11"/>
  <c r="C389" i="11" s="1"/>
  <c r="J389" i="11" s="1"/>
  <c r="S388" i="11" l="1"/>
  <c r="D389" i="11" s="1"/>
  <c r="K389" i="11"/>
  <c r="M389" i="11" l="1"/>
  <c r="N389" i="11" l="1"/>
  <c r="O389" i="11" s="1"/>
  <c r="Q389" i="11" s="1"/>
  <c r="R389" i="11" l="1"/>
  <c r="S389" i="11" s="1"/>
</calcChain>
</file>

<file path=xl/sharedStrings.xml><?xml version="1.0" encoding="utf-8"?>
<sst xmlns="http://schemas.openxmlformats.org/spreadsheetml/2006/main" count="148" uniqueCount="38">
  <si>
    <t>x</t>
    <phoneticPr fontId="1"/>
  </si>
  <si>
    <t>y</t>
    <phoneticPr fontId="1"/>
  </si>
  <si>
    <t>f</t>
    <phoneticPr fontId="1"/>
  </si>
  <si>
    <t>f'</t>
    <phoneticPr fontId="1"/>
  </si>
  <si>
    <t>f''</t>
    <phoneticPr fontId="1"/>
  </si>
  <si>
    <t>S</t>
    <phoneticPr fontId="1"/>
  </si>
  <si>
    <t>dx</t>
    <phoneticPr fontId="1"/>
  </si>
  <si>
    <t>xnew</t>
    <phoneticPr fontId="1"/>
  </si>
  <si>
    <t>optimized
solution</t>
    <phoneticPr fontId="1"/>
  </si>
  <si>
    <t>initial
solution</t>
    <phoneticPr fontId="1"/>
  </si>
  <si>
    <t>diverged</t>
    <phoneticPr fontId="1"/>
  </si>
  <si>
    <t>x=1</t>
    <phoneticPr fontId="1"/>
  </si>
  <si>
    <t>x=2</t>
    <phoneticPr fontId="1"/>
  </si>
  <si>
    <t>digerged</t>
    <phoneticPr fontId="1"/>
  </si>
  <si>
    <t>x1</t>
    <phoneticPr fontId="1"/>
  </si>
  <si>
    <t>x2</t>
    <phoneticPr fontId="1"/>
  </si>
  <si>
    <t>df/dx1</t>
    <phoneticPr fontId="1"/>
  </si>
  <si>
    <t>df/dx2</t>
    <phoneticPr fontId="1"/>
  </si>
  <si>
    <t>x1new</t>
    <phoneticPr fontId="1"/>
  </si>
  <si>
    <t>x2new</t>
    <phoneticPr fontId="1"/>
  </si>
  <si>
    <t>x+dx</t>
    <phoneticPr fontId="1"/>
  </si>
  <si>
    <t>f(x)</t>
    <phoneticPr fontId="1"/>
  </si>
  <si>
    <t>f(x+dx)</t>
    <phoneticPr fontId="1"/>
  </si>
  <si>
    <t>randum</t>
    <phoneticPr fontId="1"/>
  </si>
  <si>
    <t>t</t>
    <phoneticPr fontId="1"/>
  </si>
  <si>
    <t>dE</t>
    <phoneticPr fontId="1"/>
  </si>
  <si>
    <t>T(t)</t>
    <phoneticPr fontId="1"/>
  </si>
  <si>
    <t>dE/T(t)</t>
    <phoneticPr fontId="1"/>
  </si>
  <si>
    <t>prob</t>
    <phoneticPr fontId="1"/>
  </si>
  <si>
    <t>fnew</t>
    <phoneticPr fontId="1"/>
  </si>
  <si>
    <t>T</t>
    <phoneticPr fontId="1"/>
  </si>
  <si>
    <t>y=exp(-dE/T)</t>
    <phoneticPr fontId="1"/>
  </si>
  <si>
    <t>rand</t>
    <phoneticPr fontId="1"/>
  </si>
  <si>
    <t>a1</t>
    <phoneticPr fontId="1"/>
  </si>
  <si>
    <t>a2</t>
    <phoneticPr fontId="1"/>
  </si>
  <si>
    <t>dx1</t>
    <phoneticPr fontId="1"/>
  </si>
  <si>
    <t>dx2</t>
    <phoneticPr fontId="1"/>
  </si>
  <si>
    <t>f(x)new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</si>
</sst>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0" fillId="0" borderId="0" xfId="0" applyNumberFormat="1" applyFill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176" fontId="0" fillId="8" borderId="0" xfId="0" applyNumberFormat="1" applyFill="1">
      <alignment vertical="center"/>
    </xf>
    <xf numFmtId="176" fontId="0" fillId="9" borderId="0" xfId="0" applyNumberFormat="1" applyFill="1">
      <alignment vertical="center"/>
    </xf>
    <xf numFmtId="176" fontId="0" fillId="10" borderId="0" xfId="0" applyNumberFormat="1" applyFill="1">
      <alignment vertical="center"/>
    </xf>
    <xf numFmtId="176" fontId="0" fillId="10" borderId="7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176" fontId="0" fillId="8" borderId="7" xfId="0" applyNumberFormat="1" applyFill="1" applyBorder="1">
      <alignment vertical="center"/>
    </xf>
    <xf numFmtId="176" fontId="0" fillId="9" borderId="7" xfId="0" applyNumberFormat="1" applyFill="1" applyBorder="1">
      <alignment vertical="center"/>
    </xf>
  </cellXfs>
  <cellStyles count="1">
    <cellStyle name="標準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E2-4AE7-9B54-2C00665F2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7-49D2-9C9F-6632D469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85-464D-A34D-EC31CF758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7F-4CA9-A71C-7DBBF817F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432-4BF7-9FA6-4A800A21B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10-4BD0-B2B2-8BD1A283D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BE-4DA9-8E12-55E25FB11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6-4B80-BE2D-FDF1F065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2C7-4342-9CD3-2198D4992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5D-4F4D-A5D0-3BF04F90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879-4EDD-9448-B18ECA478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08-4FA7-8CB9-009805B90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'GM(5)'!#REF!</c:f>
            </c:numRef>
          </c:xVal>
          <c:yVal>
            <c:numRef>
              <c:f>'GM(5)'!#REF!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'GM(5)'!#REF!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B16-408C-A445-0A7458AB3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9B-4D6F-A948-BCB2879C0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3A2-4B10-9E32-D800BE68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function!$A$2:$A$1002</c:f>
              <c:numCache>
                <c:formatCode>0.00_ 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function!$B$2:$B$1002</c:f>
              <c:numCache>
                <c:formatCode>0.00_ </c:formatCode>
                <c:ptCount val="1001"/>
                <c:pt idx="0">
                  <c:v>144</c:v>
                </c:pt>
                <c:pt idx="1">
                  <c:v>142.10878400999999</c:v>
                </c:pt>
                <c:pt idx="2">
                  <c:v>140.23507215999999</c:v>
                </c:pt>
                <c:pt idx="3">
                  <c:v>138.37876881</c:v>
                </c:pt>
                <c:pt idx="4">
                  <c:v>136.53977856</c:v>
                </c:pt>
                <c:pt idx="5">
                  <c:v>134.71800625</c:v>
                </c:pt>
                <c:pt idx="6">
                  <c:v>132.91335695999999</c:v>
                </c:pt>
                <c:pt idx="7">
                  <c:v>131.12573601</c:v>
                </c:pt>
                <c:pt idx="8">
                  <c:v>129.35504896</c:v>
                </c:pt>
                <c:pt idx="9">
                  <c:v>127.60120161</c:v>
                </c:pt>
                <c:pt idx="10">
                  <c:v>125.86410000000001</c:v>
                </c:pt>
                <c:pt idx="11">
                  <c:v>124.14365041000001</c:v>
                </c:pt>
                <c:pt idx="12">
                  <c:v>122.43975936</c:v>
                </c:pt>
                <c:pt idx="13">
                  <c:v>120.75233360999999</c:v>
                </c:pt>
                <c:pt idx="14">
                  <c:v>119.08128016000001</c:v>
                </c:pt>
                <c:pt idx="15">
                  <c:v>117.42650625</c:v>
                </c:pt>
                <c:pt idx="16">
                  <c:v>115.78791935999999</c:v>
                </c:pt>
                <c:pt idx="17">
                  <c:v>114.16542720999999</c:v>
                </c:pt>
                <c:pt idx="18">
                  <c:v>112.55893776000001</c:v>
                </c:pt>
                <c:pt idx="19">
                  <c:v>110.96835920999999</c:v>
                </c:pt>
                <c:pt idx="20">
                  <c:v>109.39359999999999</c:v>
                </c:pt>
                <c:pt idx="21">
                  <c:v>107.83456881000001</c:v>
                </c:pt>
                <c:pt idx="22">
                  <c:v>106.29117456</c:v>
                </c:pt>
                <c:pt idx="23">
                  <c:v>104.76332640999999</c:v>
                </c:pt>
                <c:pt idx="24">
                  <c:v>103.25093376</c:v>
                </c:pt>
                <c:pt idx="25">
                  <c:v>101.75390625</c:v>
                </c:pt>
                <c:pt idx="26">
                  <c:v>100.27215376000001</c:v>
                </c:pt>
                <c:pt idx="27">
                  <c:v>98.805586409999989</c:v>
                </c:pt>
                <c:pt idx="28">
                  <c:v>97.354114559999999</c:v>
                </c:pt>
                <c:pt idx="29">
                  <c:v>95.917648810000003</c:v>
                </c:pt>
                <c:pt idx="30">
                  <c:v>94.496099999999998</c:v>
                </c:pt>
                <c:pt idx="31">
                  <c:v>93.089379210000004</c:v>
                </c:pt>
                <c:pt idx="32">
                  <c:v>91.697397760000001</c:v>
                </c:pt>
                <c:pt idx="33">
                  <c:v>90.320067209999991</c:v>
                </c:pt>
                <c:pt idx="34">
                  <c:v>88.957299359999993</c:v>
                </c:pt>
                <c:pt idx="35">
                  <c:v>87.609006249999993</c:v>
                </c:pt>
                <c:pt idx="36">
                  <c:v>86.275100160000008</c:v>
                </c:pt>
                <c:pt idx="37">
                  <c:v>84.955493610000005</c:v>
                </c:pt>
                <c:pt idx="38">
                  <c:v>83.650099359999999</c:v>
                </c:pt>
                <c:pt idx="39">
                  <c:v>82.358830409999996</c:v>
                </c:pt>
                <c:pt idx="40">
                  <c:v>81.081600000000009</c:v>
                </c:pt>
                <c:pt idx="41">
                  <c:v>79.818321610000012</c:v>
                </c:pt>
                <c:pt idx="42">
                  <c:v>78.568908960000002</c:v>
                </c:pt>
                <c:pt idx="43">
                  <c:v>77.333276009999992</c:v>
                </c:pt>
                <c:pt idx="44">
                  <c:v>76.111336960000003</c:v>
                </c:pt>
                <c:pt idx="45">
                  <c:v>74.903006250000004</c:v>
                </c:pt>
                <c:pt idx="46">
                  <c:v>73.70819856</c:v>
                </c:pt>
                <c:pt idx="47">
                  <c:v>72.526828809999998</c:v>
                </c:pt>
                <c:pt idx="48">
                  <c:v>71.358812159999999</c:v>
                </c:pt>
                <c:pt idx="49">
                  <c:v>70.204064009999996</c:v>
                </c:pt>
                <c:pt idx="50">
                  <c:v>69.0625</c:v>
                </c:pt>
                <c:pt idx="51">
                  <c:v>67.93403601</c:v>
                </c:pt>
                <c:pt idx="52">
                  <c:v>66.818588160000004</c:v>
                </c:pt>
                <c:pt idx="53">
                  <c:v>65.71607281</c:v>
                </c:pt>
                <c:pt idx="54">
                  <c:v>64.626406559999992</c:v>
                </c:pt>
                <c:pt idx="55">
                  <c:v>63.549506249999993</c:v>
                </c:pt>
                <c:pt idx="56">
                  <c:v>62.485288959999991</c:v>
                </c:pt>
                <c:pt idx="57">
                  <c:v>61.433672010000009</c:v>
                </c:pt>
                <c:pt idx="58">
                  <c:v>60.394572960000005</c:v>
                </c:pt>
                <c:pt idx="59">
                  <c:v>59.367909609999998</c:v>
                </c:pt>
                <c:pt idx="60">
                  <c:v>58.3536</c:v>
                </c:pt>
                <c:pt idx="61">
                  <c:v>57.351562410000014</c:v>
                </c:pt>
                <c:pt idx="62">
                  <c:v>56.361715360000005</c:v>
                </c:pt>
                <c:pt idx="63">
                  <c:v>55.383977609999988</c:v>
                </c:pt>
                <c:pt idx="64">
                  <c:v>54.418268159999997</c:v>
                </c:pt>
                <c:pt idx="65">
                  <c:v>53.464506249999999</c:v>
                </c:pt>
                <c:pt idx="66">
                  <c:v>52.522611359999999</c:v>
                </c:pt>
                <c:pt idx="67">
                  <c:v>51.59250320999999</c:v>
                </c:pt>
                <c:pt idx="68">
                  <c:v>50.674101759999985</c:v>
                </c:pt>
                <c:pt idx="69">
                  <c:v>49.767327209999991</c:v>
                </c:pt>
                <c:pt idx="70">
                  <c:v>48.872099999999989</c:v>
                </c:pt>
                <c:pt idx="71">
                  <c:v>47.988340809999983</c:v>
                </c:pt>
                <c:pt idx="72">
                  <c:v>47.115970560000022</c:v>
                </c:pt>
                <c:pt idx="73">
                  <c:v>46.254910410000008</c:v>
                </c:pt>
                <c:pt idx="74">
                  <c:v>45.405081760000002</c:v>
                </c:pt>
                <c:pt idx="75">
                  <c:v>44.56640625</c:v>
                </c:pt>
                <c:pt idx="76">
                  <c:v>43.738805759999991</c:v>
                </c:pt>
                <c:pt idx="77">
                  <c:v>42.922202409999983</c:v>
                </c:pt>
                <c:pt idx="78">
                  <c:v>42.116518559999989</c:v>
                </c:pt>
                <c:pt idx="79">
                  <c:v>41.321676810000014</c:v>
                </c:pt>
                <c:pt idx="80">
                  <c:v>40.537599999999998</c:v>
                </c:pt>
                <c:pt idx="81">
                  <c:v>39.764211209999999</c:v>
                </c:pt>
                <c:pt idx="82">
                  <c:v>39.001433760000012</c:v>
                </c:pt>
                <c:pt idx="83">
                  <c:v>38.249191210000006</c:v>
                </c:pt>
                <c:pt idx="84">
                  <c:v>37.507407360000002</c:v>
                </c:pt>
                <c:pt idx="85">
                  <c:v>36.776006249999995</c:v>
                </c:pt>
                <c:pt idx="86">
                  <c:v>36.054912159999986</c:v>
                </c:pt>
                <c:pt idx="87">
                  <c:v>35.344049609999985</c:v>
                </c:pt>
                <c:pt idx="88">
                  <c:v>34.643343360000017</c:v>
                </c:pt>
                <c:pt idx="89">
                  <c:v>33.952718410000017</c:v>
                </c:pt>
                <c:pt idx="90">
                  <c:v>33.272099999999995</c:v>
                </c:pt>
                <c:pt idx="91">
                  <c:v>32.601413610000009</c:v>
                </c:pt>
                <c:pt idx="92">
                  <c:v>31.940584959999995</c:v>
                </c:pt>
                <c:pt idx="93">
                  <c:v>31.289540009999996</c:v>
                </c:pt>
                <c:pt idx="94">
                  <c:v>30.648204960000001</c:v>
                </c:pt>
                <c:pt idx="95">
                  <c:v>30.016506250000006</c:v>
                </c:pt>
                <c:pt idx="96">
                  <c:v>29.394370559999984</c:v>
                </c:pt>
                <c:pt idx="97">
                  <c:v>28.781724810000014</c:v>
                </c:pt>
                <c:pt idx="98">
                  <c:v>28.178496160000009</c:v>
                </c:pt>
                <c:pt idx="99">
                  <c:v>27.584612010000015</c:v>
                </c:pt>
                <c:pt idx="100">
                  <c:v>27</c:v>
                </c:pt>
                <c:pt idx="101">
                  <c:v>26.424588009999994</c:v>
                </c:pt>
                <c:pt idx="102">
                  <c:v>25.858304159999989</c:v>
                </c:pt>
                <c:pt idx="103">
                  <c:v>25.301076809999984</c:v>
                </c:pt>
                <c:pt idx="104">
                  <c:v>24.752834560000011</c:v>
                </c:pt>
                <c:pt idx="105">
                  <c:v>24.213506250000009</c:v>
                </c:pt>
                <c:pt idx="106">
                  <c:v>23.683020960000007</c:v>
                </c:pt>
                <c:pt idx="107">
                  <c:v>23.161308009999985</c:v>
                </c:pt>
                <c:pt idx="108">
                  <c:v>22.648296959999982</c:v>
                </c:pt>
                <c:pt idx="109">
                  <c:v>22.143917609999988</c:v>
                </c:pt>
                <c:pt idx="110">
                  <c:v>21.648099999999985</c:v>
                </c:pt>
                <c:pt idx="111">
                  <c:v>21.160774410000016</c:v>
                </c:pt>
                <c:pt idx="112">
                  <c:v>20.681871360000002</c:v>
                </c:pt>
                <c:pt idx="113">
                  <c:v>20.211321609999985</c:v>
                </c:pt>
                <c:pt idx="114">
                  <c:v>19.749056159999995</c:v>
                </c:pt>
                <c:pt idx="115">
                  <c:v>19.295006250000014</c:v>
                </c:pt>
                <c:pt idx="116">
                  <c:v>18.849103360000015</c:v>
                </c:pt>
                <c:pt idx="117">
                  <c:v>18.411279210000004</c:v>
                </c:pt>
                <c:pt idx="118">
                  <c:v>17.981465759999992</c:v>
                </c:pt>
                <c:pt idx="119">
                  <c:v>17.559595209999998</c:v>
                </c:pt>
                <c:pt idx="120">
                  <c:v>17.145600000000002</c:v>
                </c:pt>
                <c:pt idx="121">
                  <c:v>16.739412810000005</c:v>
                </c:pt>
                <c:pt idx="122">
                  <c:v>16.340966560000012</c:v>
                </c:pt>
                <c:pt idx="123">
                  <c:v>15.950194409999995</c:v>
                </c:pt>
                <c:pt idx="124">
                  <c:v>15.567029760000025</c:v>
                </c:pt>
                <c:pt idx="125">
                  <c:v>15.19140625</c:v>
                </c:pt>
                <c:pt idx="126">
                  <c:v>14.82325775999999</c:v>
                </c:pt>
                <c:pt idx="127">
                  <c:v>14.462518410000001</c:v>
                </c:pt>
                <c:pt idx="128">
                  <c:v>14.109122560000003</c:v>
                </c:pt>
                <c:pt idx="129">
                  <c:v>13.763004810000041</c:v>
                </c:pt>
                <c:pt idx="130">
                  <c:v>13.42410000000001</c:v>
                </c:pt>
                <c:pt idx="131">
                  <c:v>13.092343209999996</c:v>
                </c:pt>
                <c:pt idx="132">
                  <c:v>12.767669760000018</c:v>
                </c:pt>
                <c:pt idx="133">
                  <c:v>12.450015210000004</c:v>
                </c:pt>
                <c:pt idx="134">
                  <c:v>12.139315360000012</c:v>
                </c:pt>
                <c:pt idx="135">
                  <c:v>11.835506250000009</c:v>
                </c:pt>
                <c:pt idx="136">
                  <c:v>11.538524160000009</c:v>
                </c:pt>
                <c:pt idx="137">
                  <c:v>11.248305609999989</c:v>
                </c:pt>
                <c:pt idx="138">
                  <c:v>10.964787360000003</c:v>
                </c:pt>
                <c:pt idx="139">
                  <c:v>10.687906410000011</c:v>
                </c:pt>
                <c:pt idx="140">
                  <c:v>10.417599999999993</c:v>
                </c:pt>
                <c:pt idx="141">
                  <c:v>10.153805610000006</c:v>
                </c:pt>
                <c:pt idx="142">
                  <c:v>9.8964609599999847</c:v>
                </c:pt>
                <c:pt idx="143">
                  <c:v>9.6455040099999962</c:v>
                </c:pt>
                <c:pt idx="144">
                  <c:v>9.4008729600000436</c:v>
                </c:pt>
                <c:pt idx="145">
                  <c:v>9.162506250000007</c:v>
                </c:pt>
                <c:pt idx="146">
                  <c:v>8.9303425600000139</c:v>
                </c:pt>
                <c:pt idx="147">
                  <c:v>8.7043208099999845</c:v>
                </c:pt>
                <c:pt idx="148">
                  <c:v>8.4843801600000006</c:v>
                </c:pt>
                <c:pt idx="149">
                  <c:v>8.2704600099999652</c:v>
                </c:pt>
                <c:pt idx="150">
                  <c:v>8.0625</c:v>
                </c:pt>
                <c:pt idx="151">
                  <c:v>7.8604400100000191</c:v>
                </c:pt>
                <c:pt idx="152">
                  <c:v>7.6642201599999851</c:v>
                </c:pt>
                <c:pt idx="153">
                  <c:v>7.4737808099999938</c:v>
                </c:pt>
                <c:pt idx="154">
                  <c:v>7.2890625599999623</c:v>
                </c:pt>
                <c:pt idx="155">
                  <c:v>7.1100062500000263</c:v>
                </c:pt>
                <c:pt idx="156">
                  <c:v>6.9365529600000002</c:v>
                </c:pt>
                <c:pt idx="157">
                  <c:v>6.7686440100000027</c:v>
                </c:pt>
                <c:pt idx="158">
                  <c:v>6.6062209600000301</c:v>
                </c:pt>
                <c:pt idx="159">
                  <c:v>6.449225609999985</c:v>
                </c:pt>
                <c:pt idx="160">
                  <c:v>6.297600000000017</c:v>
                </c:pt>
                <c:pt idx="161">
                  <c:v>6.1512864099999547</c:v>
                </c:pt>
                <c:pt idx="162">
                  <c:v>6.010227360000016</c:v>
                </c:pt>
                <c:pt idx="163">
                  <c:v>5.8743656100000123</c:v>
                </c:pt>
                <c:pt idx="164">
                  <c:v>5.7436441600000308</c:v>
                </c:pt>
                <c:pt idx="165">
                  <c:v>5.6180062500000076</c:v>
                </c:pt>
                <c:pt idx="166">
                  <c:v>5.4973953600000129</c:v>
                </c:pt>
                <c:pt idx="167">
                  <c:v>5.3817552099999943</c:v>
                </c:pt>
                <c:pt idx="168">
                  <c:v>5.2710297599999762</c:v>
                </c:pt>
                <c:pt idx="169">
                  <c:v>5.1651632100000313</c:v>
                </c:pt>
                <c:pt idx="170">
                  <c:v>5.0640999999999678</c:v>
                </c:pt>
                <c:pt idx="171">
                  <c:v>4.9677848100000119</c:v>
                </c:pt>
                <c:pt idx="172">
                  <c:v>4.8761625599999547</c:v>
                </c:pt>
                <c:pt idx="173">
                  <c:v>4.7891784100000052</c:v>
                </c:pt>
                <c:pt idx="174">
                  <c:v>4.7067777599999943</c:v>
                </c:pt>
                <c:pt idx="175">
                  <c:v>4.62890625</c:v>
                </c:pt>
                <c:pt idx="176">
                  <c:v>4.5555097600000067</c:v>
                </c:pt>
                <c:pt idx="177">
                  <c:v>4.4865344099999902</c:v>
                </c:pt>
                <c:pt idx="178">
                  <c:v>4.4219265600000313</c:v>
                </c:pt>
                <c:pt idx="179">
                  <c:v>4.3616328100000032</c:v>
                </c:pt>
                <c:pt idx="180">
                  <c:v>4.3055999999999983</c:v>
                </c:pt>
                <c:pt idx="181">
                  <c:v>4.2537752099999864</c:v>
                </c:pt>
                <c:pt idx="182">
                  <c:v>4.206105760000014</c:v>
                </c:pt>
                <c:pt idx="183">
                  <c:v>4.162539210000034</c:v>
                </c:pt>
                <c:pt idx="184">
                  <c:v>4.123023360000019</c:v>
                </c:pt>
                <c:pt idx="185">
                  <c:v>4.0875062499999899</c:v>
                </c:pt>
                <c:pt idx="186">
                  <c:v>4.0559361599999875</c:v>
                </c:pt>
                <c:pt idx="187">
                  <c:v>4.0282616100000155</c:v>
                </c:pt>
                <c:pt idx="188">
                  <c:v>4.0044313600000123</c:v>
                </c:pt>
                <c:pt idx="189">
                  <c:v>3.9843944099999931</c:v>
                </c:pt>
                <c:pt idx="190">
                  <c:v>3.9681000000000211</c:v>
                </c:pt>
                <c:pt idx="191">
                  <c:v>3.9554976100000374</c:v>
                </c:pt>
                <c:pt idx="192">
                  <c:v>3.9465369599999462</c:v>
                </c:pt>
                <c:pt idx="193">
                  <c:v>3.9411680100000126</c:v>
                </c:pt>
                <c:pt idx="194">
                  <c:v>3.9393409600000382</c:v>
                </c:pt>
                <c:pt idx="195">
                  <c:v>3.9410062500000151</c:v>
                </c:pt>
                <c:pt idx="196">
                  <c:v>3.9461145600000123</c:v>
                </c:pt>
                <c:pt idx="197">
                  <c:v>3.9546168100000045</c:v>
                </c:pt>
                <c:pt idx="198">
                  <c:v>3.9664641600000436</c:v>
                </c:pt>
                <c:pt idx="199">
                  <c:v>3.9816080100000022</c:v>
                </c:pt>
                <c:pt idx="200">
                  <c:v>4</c:v>
                </c:pt>
                <c:pt idx="201">
                  <c:v>4.0215920100000062</c:v>
                </c:pt>
                <c:pt idx="202">
                  <c:v>4.0463361600000098</c:v>
                </c:pt>
                <c:pt idx="203">
                  <c:v>4.0741848099999629</c:v>
                </c:pt>
                <c:pt idx="204">
                  <c:v>4.1050905599999794</c:v>
                </c:pt>
                <c:pt idx="205">
                  <c:v>4.1390062500000795</c:v>
                </c:pt>
                <c:pt idx="206">
                  <c:v>4.1758849599999621</c:v>
                </c:pt>
                <c:pt idx="207">
                  <c:v>4.2156800100000567</c:v>
                </c:pt>
                <c:pt idx="208">
                  <c:v>4.2583449600000165</c:v>
                </c:pt>
                <c:pt idx="209">
                  <c:v>4.3038336099999697</c:v>
                </c:pt>
                <c:pt idx="210">
                  <c:v>4.352100000000064</c:v>
                </c:pt>
                <c:pt idx="211">
                  <c:v>4.4030984099999841</c:v>
                </c:pt>
                <c:pt idx="212">
                  <c:v>4.4567833600000313</c:v>
                </c:pt>
                <c:pt idx="213">
                  <c:v>4.5131096099999581</c:v>
                </c:pt>
                <c:pt idx="214">
                  <c:v>4.5720321599999352</c:v>
                </c:pt>
                <c:pt idx="215">
                  <c:v>4.6335062499999822</c:v>
                </c:pt>
                <c:pt idx="216">
                  <c:v>4.6974873599999682</c:v>
                </c:pt>
                <c:pt idx="217">
                  <c:v>4.7639312099999529</c:v>
                </c:pt>
                <c:pt idx="218">
                  <c:v>4.8327937600000155</c:v>
                </c:pt>
                <c:pt idx="219">
                  <c:v>4.9040312100000278</c:v>
                </c:pt>
                <c:pt idx="220">
                  <c:v>4.9775999999999954</c:v>
                </c:pt>
                <c:pt idx="221">
                  <c:v>5.0534568100000001</c:v>
                </c:pt>
                <c:pt idx="222">
                  <c:v>5.1315585600000304</c:v>
                </c:pt>
                <c:pt idx="223">
                  <c:v>5.2118624100000375</c:v>
                </c:pt>
                <c:pt idx="224">
                  <c:v>5.2943257599999924</c:v>
                </c:pt>
                <c:pt idx="225">
                  <c:v>5.37890625</c:v>
                </c:pt>
                <c:pt idx="226">
                  <c:v>5.4655617599999573</c:v>
                </c:pt>
                <c:pt idx="227">
                  <c:v>5.5542504099999519</c:v>
                </c:pt>
                <c:pt idx="228">
                  <c:v>5.6449305599999775</c:v>
                </c:pt>
                <c:pt idx="229">
                  <c:v>5.7375608099999909</c:v>
                </c:pt>
                <c:pt idx="230">
                  <c:v>5.8321000000000254</c:v>
                </c:pt>
                <c:pt idx="231">
                  <c:v>5.9285072099999638</c:v>
                </c:pt>
                <c:pt idx="232">
                  <c:v>6.0267417600000499</c:v>
                </c:pt>
                <c:pt idx="233">
                  <c:v>6.1267632100000924</c:v>
                </c:pt>
                <c:pt idx="234">
                  <c:v>6.2285313599999768</c:v>
                </c:pt>
                <c:pt idx="235">
                  <c:v>6.3320062500000631</c:v>
                </c:pt>
                <c:pt idx="236">
                  <c:v>6.4371481599999925</c:v>
                </c:pt>
                <c:pt idx="237">
                  <c:v>6.5439176100000509</c:v>
                </c:pt>
                <c:pt idx="238">
                  <c:v>6.6522753600000328</c:v>
                </c:pt>
                <c:pt idx="239">
                  <c:v>6.7621824099999799</c:v>
                </c:pt>
                <c:pt idx="240">
                  <c:v>6.8736000000000104</c:v>
                </c:pt>
                <c:pt idx="241">
                  <c:v>6.9864896099999783</c:v>
                </c:pt>
                <c:pt idx="242">
                  <c:v>7.1008129599999847</c:v>
                </c:pt>
                <c:pt idx="243">
                  <c:v>7.2165320099999235</c:v>
                </c:pt>
                <c:pt idx="244">
                  <c:v>7.3336089599999923</c:v>
                </c:pt>
                <c:pt idx="245">
                  <c:v>7.4520062500000108</c:v>
                </c:pt>
                <c:pt idx="246">
                  <c:v>7.571686560000046</c:v>
                </c:pt>
                <c:pt idx="247">
                  <c:v>7.6926128100000142</c:v>
                </c:pt>
                <c:pt idx="248">
                  <c:v>7.8147481600000788</c:v>
                </c:pt>
                <c:pt idx="249">
                  <c:v>7.9380560100000253</c:v>
                </c:pt>
                <c:pt idx="250">
                  <c:v>8.0625</c:v>
                </c:pt>
                <c:pt idx="251">
                  <c:v>8.1880440099999987</c:v>
                </c:pt>
                <c:pt idx="252">
                  <c:v>8.3146521599999801</c:v>
                </c:pt>
                <c:pt idx="253">
                  <c:v>8.4422888099999795</c:v>
                </c:pt>
                <c:pt idx="254">
                  <c:v>8.5709185599999955</c:v>
                </c:pt>
                <c:pt idx="255">
                  <c:v>8.7005062499999894</c:v>
                </c:pt>
                <c:pt idx="256">
                  <c:v>8.8310169599999426</c:v>
                </c:pt>
                <c:pt idx="257">
                  <c:v>8.9624160100000836</c:v>
                </c:pt>
                <c:pt idx="258">
                  <c:v>9.0946689600000923</c:v>
                </c:pt>
                <c:pt idx="259">
                  <c:v>9.2277416100000096</c:v>
                </c:pt>
                <c:pt idx="260">
                  <c:v>9.3616000000000668</c:v>
                </c:pt>
                <c:pt idx="261">
                  <c:v>9.4962104100000033</c:v>
                </c:pt>
                <c:pt idx="262">
                  <c:v>9.6315393599999766</c:v>
                </c:pt>
                <c:pt idx="263">
                  <c:v>9.7675536099999931</c:v>
                </c:pt>
                <c:pt idx="264">
                  <c:v>9.9042201600000226</c:v>
                </c:pt>
                <c:pt idx="265">
                  <c:v>10.041506250000054</c:v>
                </c:pt>
                <c:pt idx="266">
                  <c:v>10.179379360000041</c:v>
                </c:pt>
                <c:pt idx="267">
                  <c:v>10.317807210000012</c:v>
                </c:pt>
                <c:pt idx="268">
                  <c:v>10.456757760000016</c:v>
                </c:pt>
                <c:pt idx="269">
                  <c:v>10.596199210000066</c:v>
                </c:pt>
                <c:pt idx="270">
                  <c:v>10.736100000000079</c:v>
                </c:pt>
                <c:pt idx="271">
                  <c:v>10.876428809999993</c:v>
                </c:pt>
                <c:pt idx="272">
                  <c:v>11.017154559999994</c:v>
                </c:pt>
                <c:pt idx="273">
                  <c:v>11.158246409999947</c:v>
                </c:pt>
                <c:pt idx="274">
                  <c:v>11.299673759999962</c:v>
                </c:pt>
                <c:pt idx="275">
                  <c:v>11.44140625</c:v>
                </c:pt>
                <c:pt idx="276">
                  <c:v>11.583413759999928</c:v>
                </c:pt>
                <c:pt idx="277">
                  <c:v>11.725666410000031</c:v>
                </c:pt>
                <c:pt idx="278">
                  <c:v>11.868134559999987</c:v>
                </c:pt>
                <c:pt idx="279">
                  <c:v>12.010788810000008</c:v>
                </c:pt>
                <c:pt idx="280">
                  <c:v>12.15360000000004</c:v>
                </c:pt>
                <c:pt idx="281">
                  <c:v>12.296539209999992</c:v>
                </c:pt>
                <c:pt idx="282">
                  <c:v>12.43957776000002</c:v>
                </c:pt>
                <c:pt idx="283">
                  <c:v>12.582687210000017</c:v>
                </c:pt>
                <c:pt idx="284">
                  <c:v>12.725839359999952</c:v>
                </c:pt>
                <c:pt idx="285">
                  <c:v>12.869006250000098</c:v>
                </c:pt>
                <c:pt idx="286">
                  <c:v>13.012160159999951</c:v>
                </c:pt>
                <c:pt idx="287">
                  <c:v>13.155273609999995</c:v>
                </c:pt>
                <c:pt idx="288">
                  <c:v>13.29831936000005</c:v>
                </c:pt>
                <c:pt idx="289">
                  <c:v>13.441270409999902</c:v>
                </c:pt>
                <c:pt idx="290">
                  <c:v>13.584100000000035</c:v>
                </c:pt>
                <c:pt idx="291">
                  <c:v>13.726781610000103</c:v>
                </c:pt>
                <c:pt idx="292">
                  <c:v>13.869288960000006</c:v>
                </c:pt>
                <c:pt idx="293">
                  <c:v>14.011596009999948</c:v>
                </c:pt>
                <c:pt idx="294">
                  <c:v>14.153676959999984</c:v>
                </c:pt>
                <c:pt idx="295">
                  <c:v>14.295506250000017</c:v>
                </c:pt>
                <c:pt idx="296">
                  <c:v>14.437058560000082</c:v>
                </c:pt>
                <c:pt idx="297">
                  <c:v>14.578308810000067</c:v>
                </c:pt>
                <c:pt idx="298">
                  <c:v>14.719232159999933</c:v>
                </c:pt>
                <c:pt idx="299">
                  <c:v>14.859804010000005</c:v>
                </c:pt>
                <c:pt idx="300">
                  <c:v>15</c:v>
                </c:pt>
                <c:pt idx="301">
                  <c:v>15.139796009999884</c:v>
                </c:pt>
                <c:pt idx="302">
                  <c:v>15.27916816000004</c:v>
                </c:pt>
                <c:pt idx="303">
                  <c:v>15.418092810000019</c:v>
                </c:pt>
                <c:pt idx="304">
                  <c:v>15.556546559999958</c:v>
                </c:pt>
                <c:pt idx="305">
                  <c:v>15.694506250000018</c:v>
                </c:pt>
                <c:pt idx="306">
                  <c:v>15.831948959999977</c:v>
                </c:pt>
                <c:pt idx="307">
                  <c:v>15.968852010000035</c:v>
                </c:pt>
                <c:pt idx="308">
                  <c:v>16.10519295999984</c:v>
                </c:pt>
                <c:pt idx="309">
                  <c:v>16.24094961000003</c:v>
                </c:pt>
                <c:pt idx="310">
                  <c:v>16.376100000000008</c:v>
                </c:pt>
                <c:pt idx="311">
                  <c:v>16.510622409999996</c:v>
                </c:pt>
                <c:pt idx="312">
                  <c:v>16.644495360000064</c:v>
                </c:pt>
                <c:pt idx="313">
                  <c:v>16.777697610000018</c:v>
                </c:pt>
                <c:pt idx="314">
                  <c:v>16.910208159999968</c:v>
                </c:pt>
                <c:pt idx="315">
                  <c:v>17.042006249999986</c:v>
                </c:pt>
                <c:pt idx="316">
                  <c:v>17.173071360000051</c:v>
                </c:pt>
                <c:pt idx="317">
                  <c:v>17.303383209999993</c:v>
                </c:pt>
                <c:pt idx="318">
                  <c:v>17.432921759999886</c:v>
                </c:pt>
                <c:pt idx="319">
                  <c:v>17.561667209999996</c:v>
                </c:pt>
                <c:pt idx="320">
                  <c:v>17.689600000000041</c:v>
                </c:pt>
                <c:pt idx="321">
                  <c:v>17.816700810000043</c:v>
                </c:pt>
                <c:pt idx="322">
                  <c:v>17.942950559999872</c:v>
                </c:pt>
                <c:pt idx="323">
                  <c:v>18.06833040999993</c:v>
                </c:pt>
                <c:pt idx="324">
                  <c:v>18.192821760000015</c:v>
                </c:pt>
                <c:pt idx="325">
                  <c:v>18.31640625</c:v>
                </c:pt>
                <c:pt idx="326">
                  <c:v>18.439065760000005</c:v>
                </c:pt>
                <c:pt idx="327">
                  <c:v>18.560782410000002</c:v>
                </c:pt>
                <c:pt idx="328">
                  <c:v>18.681538560000035</c:v>
                </c:pt>
                <c:pt idx="329">
                  <c:v>18.801316810000003</c:v>
                </c:pt>
                <c:pt idx="330">
                  <c:v>18.920099999999934</c:v>
                </c:pt>
                <c:pt idx="331">
                  <c:v>19.037871210000048</c:v>
                </c:pt>
                <c:pt idx="332">
                  <c:v>19.154613760000075</c:v>
                </c:pt>
                <c:pt idx="333">
                  <c:v>19.270311209999988</c:v>
                </c:pt>
                <c:pt idx="334">
                  <c:v>19.384947360000012</c:v>
                </c:pt>
                <c:pt idx="335">
                  <c:v>19.498506249999991</c:v>
                </c:pt>
                <c:pt idx="336">
                  <c:v>19.61097215999996</c:v>
                </c:pt>
                <c:pt idx="337">
                  <c:v>19.722329609999974</c:v>
                </c:pt>
                <c:pt idx="338">
                  <c:v>19.832563360000108</c:v>
                </c:pt>
                <c:pt idx="339">
                  <c:v>19.941658410000059</c:v>
                </c:pt>
                <c:pt idx="340">
                  <c:v>20.049599999999941</c:v>
                </c:pt>
                <c:pt idx="341">
                  <c:v>20.156373610000173</c:v>
                </c:pt>
                <c:pt idx="342">
                  <c:v>20.26196496</c:v>
                </c:pt>
                <c:pt idx="343">
                  <c:v>20.366360009999994</c:v>
                </c:pt>
                <c:pt idx="344">
                  <c:v>20.46954495999978</c:v>
                </c:pt>
                <c:pt idx="345">
                  <c:v>20.57150624999997</c:v>
                </c:pt>
                <c:pt idx="346">
                  <c:v>20.672230560000003</c:v>
                </c:pt>
                <c:pt idx="347">
                  <c:v>20.77170480999996</c:v>
                </c:pt>
                <c:pt idx="348">
                  <c:v>20.869916160000002</c:v>
                </c:pt>
                <c:pt idx="349">
                  <c:v>20.966852010000025</c:v>
                </c:pt>
                <c:pt idx="350">
                  <c:v>21.0625</c:v>
                </c:pt>
                <c:pt idx="351">
                  <c:v>21.15684801000009</c:v>
                </c:pt>
                <c:pt idx="352">
                  <c:v>21.249884160000079</c:v>
                </c:pt>
                <c:pt idx="353">
                  <c:v>21.341596810000055</c:v>
                </c:pt>
                <c:pt idx="354">
                  <c:v>21.431974559999958</c:v>
                </c:pt>
                <c:pt idx="355">
                  <c:v>21.521006250000028</c:v>
                </c:pt>
                <c:pt idx="356">
                  <c:v>21.608680960000015</c:v>
                </c:pt>
                <c:pt idx="357">
                  <c:v>21.694988009999975</c:v>
                </c:pt>
                <c:pt idx="358">
                  <c:v>21.779916960000037</c:v>
                </c:pt>
                <c:pt idx="359">
                  <c:v>21.863457610000069</c:v>
                </c:pt>
                <c:pt idx="360">
                  <c:v>21.945600000000013</c:v>
                </c:pt>
                <c:pt idx="361">
                  <c:v>22.026334410000004</c:v>
                </c:pt>
                <c:pt idx="362">
                  <c:v>22.105651360000024</c:v>
                </c:pt>
                <c:pt idx="363">
                  <c:v>22.18354161000002</c:v>
                </c:pt>
                <c:pt idx="364">
                  <c:v>22.259996160000128</c:v>
                </c:pt>
                <c:pt idx="365">
                  <c:v>22.335006249999878</c:v>
                </c:pt>
                <c:pt idx="366">
                  <c:v>22.40856336000013</c:v>
                </c:pt>
                <c:pt idx="367">
                  <c:v>22.480659209999999</c:v>
                </c:pt>
                <c:pt idx="368">
                  <c:v>22.551285760000155</c:v>
                </c:pt>
                <c:pt idx="369">
                  <c:v>22.620435209999869</c:v>
                </c:pt>
                <c:pt idx="370">
                  <c:v>22.688099999999963</c:v>
                </c:pt>
                <c:pt idx="371">
                  <c:v>22.754272810000089</c:v>
                </c:pt>
                <c:pt idx="372">
                  <c:v>22.818946560000086</c:v>
                </c:pt>
                <c:pt idx="373">
                  <c:v>22.882114409999986</c:v>
                </c:pt>
                <c:pt idx="374">
                  <c:v>22.943769760000009</c:v>
                </c:pt>
                <c:pt idx="375">
                  <c:v>23.00390625</c:v>
                </c:pt>
                <c:pt idx="376">
                  <c:v>23.062517760000105</c:v>
                </c:pt>
                <c:pt idx="377">
                  <c:v>23.119598409999867</c:v>
                </c:pt>
                <c:pt idx="378">
                  <c:v>23.175142559999927</c:v>
                </c:pt>
                <c:pt idx="379">
                  <c:v>23.22914480999998</c:v>
                </c:pt>
                <c:pt idx="380">
                  <c:v>23.28160000000014</c:v>
                </c:pt>
                <c:pt idx="381">
                  <c:v>23.332503209999913</c:v>
                </c:pt>
                <c:pt idx="382">
                  <c:v>23.381849760000136</c:v>
                </c:pt>
                <c:pt idx="383">
                  <c:v>23.429635209999901</c:v>
                </c:pt>
                <c:pt idx="384">
                  <c:v>23.475855359999855</c:v>
                </c:pt>
                <c:pt idx="385">
                  <c:v>23.520506250000039</c:v>
                </c:pt>
                <c:pt idx="386">
                  <c:v>23.563584160000119</c:v>
                </c:pt>
                <c:pt idx="387">
                  <c:v>23.605085609999946</c:v>
                </c:pt>
                <c:pt idx="388">
                  <c:v>23.645007360000022</c:v>
                </c:pt>
                <c:pt idx="389">
                  <c:v>23.683346409999899</c:v>
                </c:pt>
                <c:pt idx="390">
                  <c:v>23.720100000000002</c:v>
                </c:pt>
                <c:pt idx="391">
                  <c:v>23.755265610000038</c:v>
                </c:pt>
                <c:pt idx="392">
                  <c:v>23.788840960000016</c:v>
                </c:pt>
                <c:pt idx="393">
                  <c:v>23.82082400999991</c:v>
                </c:pt>
                <c:pt idx="394">
                  <c:v>23.851212959999998</c:v>
                </c:pt>
                <c:pt idx="395">
                  <c:v>23.880006249999951</c:v>
                </c:pt>
                <c:pt idx="396">
                  <c:v>23.907202560000201</c:v>
                </c:pt>
                <c:pt idx="397">
                  <c:v>23.932800809999776</c:v>
                </c:pt>
                <c:pt idx="398">
                  <c:v>23.956800160000057</c:v>
                </c:pt>
                <c:pt idx="399">
                  <c:v>23.97920001</c:v>
                </c:pt>
                <c:pt idx="400">
                  <c:v>24</c:v>
                </c:pt>
                <c:pt idx="401">
                  <c:v>24.019200009999963</c:v>
                </c:pt>
                <c:pt idx="402">
                  <c:v>24.036800159999984</c:v>
                </c:pt>
                <c:pt idx="403">
                  <c:v>24.052800810000008</c:v>
                </c:pt>
                <c:pt idx="404">
                  <c:v>24.067202560000055</c:v>
                </c:pt>
                <c:pt idx="405">
                  <c:v>24.080006250000224</c:v>
                </c:pt>
                <c:pt idx="406">
                  <c:v>24.091212959999893</c:v>
                </c:pt>
                <c:pt idx="407">
                  <c:v>24.10082401000011</c:v>
                </c:pt>
                <c:pt idx="408">
                  <c:v>24.108840959999952</c:v>
                </c:pt>
                <c:pt idx="409">
                  <c:v>24.115265610000051</c:v>
                </c:pt>
                <c:pt idx="410">
                  <c:v>24.120100000000207</c:v>
                </c:pt>
                <c:pt idx="411">
                  <c:v>24.123346409999954</c:v>
                </c:pt>
                <c:pt idx="412">
                  <c:v>24.125007359999927</c:v>
                </c:pt>
                <c:pt idx="413">
                  <c:v>24.125085610000269</c:v>
                </c:pt>
                <c:pt idx="414">
                  <c:v>24.123584160000178</c:v>
                </c:pt>
                <c:pt idx="415">
                  <c:v>24.120506250000176</c:v>
                </c:pt>
                <c:pt idx="416">
                  <c:v>24.115855360000069</c:v>
                </c:pt>
                <c:pt idx="417">
                  <c:v>24.109635209999851</c:v>
                </c:pt>
                <c:pt idx="418">
                  <c:v>24.101849759999709</c:v>
                </c:pt>
                <c:pt idx="419">
                  <c:v>24.092503210000132</c:v>
                </c:pt>
                <c:pt idx="420">
                  <c:v>24.08159999999998</c:v>
                </c:pt>
                <c:pt idx="421">
                  <c:v>24.069144810000125</c:v>
                </c:pt>
                <c:pt idx="422">
                  <c:v>24.055142560000036</c:v>
                </c:pt>
                <c:pt idx="423">
                  <c:v>24.039598410000167</c:v>
                </c:pt>
                <c:pt idx="424">
                  <c:v>24.022517760000028</c:v>
                </c:pt>
                <c:pt idx="425">
                  <c:v>24.00390625</c:v>
                </c:pt>
                <c:pt idx="426">
                  <c:v>23.983769759999859</c:v>
                </c:pt>
                <c:pt idx="427">
                  <c:v>23.96211441000014</c:v>
                </c:pt>
                <c:pt idx="428">
                  <c:v>23.938946559999749</c:v>
                </c:pt>
                <c:pt idx="429">
                  <c:v>23.914272810000057</c:v>
                </c:pt>
                <c:pt idx="430">
                  <c:v>23.888100000000009</c:v>
                </c:pt>
                <c:pt idx="431">
                  <c:v>23.860435209999878</c:v>
                </c:pt>
                <c:pt idx="432">
                  <c:v>23.831285760000014</c:v>
                </c:pt>
                <c:pt idx="433">
                  <c:v>23.800659209999822</c:v>
                </c:pt>
                <c:pt idx="434">
                  <c:v>23.768563359999803</c:v>
                </c:pt>
                <c:pt idx="435">
                  <c:v>23.735006249999856</c:v>
                </c:pt>
                <c:pt idx="436">
                  <c:v>23.699996160000069</c:v>
                </c:pt>
                <c:pt idx="437">
                  <c:v>23.663541610000038</c:v>
                </c:pt>
                <c:pt idx="438">
                  <c:v>23.625651360000234</c:v>
                </c:pt>
                <c:pt idx="439">
                  <c:v>23.586334410000063</c:v>
                </c:pt>
                <c:pt idx="440">
                  <c:v>23.545599999999808</c:v>
                </c:pt>
                <c:pt idx="441">
                  <c:v>23.503457610000055</c:v>
                </c:pt>
                <c:pt idx="442">
                  <c:v>23.459916960000101</c:v>
                </c:pt>
                <c:pt idx="443">
                  <c:v>23.414988010000002</c:v>
                </c:pt>
                <c:pt idx="444">
                  <c:v>23.36868096000012</c:v>
                </c:pt>
                <c:pt idx="445">
                  <c:v>23.321006250000096</c:v>
                </c:pt>
                <c:pt idx="446">
                  <c:v>23.271974560000103</c:v>
                </c:pt>
                <c:pt idx="447">
                  <c:v>23.221596810000165</c:v>
                </c:pt>
                <c:pt idx="448">
                  <c:v>23.169884160000038</c:v>
                </c:pt>
                <c:pt idx="449">
                  <c:v>23.116848010000126</c:v>
                </c:pt>
                <c:pt idx="450">
                  <c:v>23.0625</c:v>
                </c:pt>
                <c:pt idx="451">
                  <c:v>23.006852010000216</c:v>
                </c:pt>
                <c:pt idx="452">
                  <c:v>22.94991615999993</c:v>
                </c:pt>
                <c:pt idx="453">
                  <c:v>22.891704809999965</c:v>
                </c:pt>
                <c:pt idx="454">
                  <c:v>22.832230560000085</c:v>
                </c:pt>
                <c:pt idx="455">
                  <c:v>22.771506249999675</c:v>
                </c:pt>
                <c:pt idx="456">
                  <c:v>22.709544960000017</c:v>
                </c:pt>
                <c:pt idx="457">
                  <c:v>22.646360009999739</c:v>
                </c:pt>
                <c:pt idx="458">
                  <c:v>22.58196496000005</c:v>
                </c:pt>
                <c:pt idx="459">
                  <c:v>22.51637360999996</c:v>
                </c:pt>
                <c:pt idx="460">
                  <c:v>22.44960000000026</c:v>
                </c:pt>
                <c:pt idx="461">
                  <c:v>22.381658409999773</c:v>
                </c:pt>
                <c:pt idx="462">
                  <c:v>22.312563359999672</c:v>
                </c:pt>
                <c:pt idx="463">
                  <c:v>22.242329609999956</c:v>
                </c:pt>
                <c:pt idx="464">
                  <c:v>22.170972160000019</c:v>
                </c:pt>
                <c:pt idx="465">
                  <c:v>22.098506249999787</c:v>
                </c:pt>
                <c:pt idx="466">
                  <c:v>22.024947360000283</c:v>
                </c:pt>
                <c:pt idx="467">
                  <c:v>21.950311209999654</c:v>
                </c:pt>
                <c:pt idx="468">
                  <c:v>21.874613759999988</c:v>
                </c:pt>
                <c:pt idx="469">
                  <c:v>21.797871209999926</c:v>
                </c:pt>
                <c:pt idx="470">
                  <c:v>21.72010000000023</c:v>
                </c:pt>
                <c:pt idx="471">
                  <c:v>21.641316810000149</c:v>
                </c:pt>
                <c:pt idx="472">
                  <c:v>21.561538559999917</c:v>
                </c:pt>
                <c:pt idx="473">
                  <c:v>21.480782410000074</c:v>
                </c:pt>
                <c:pt idx="474">
                  <c:v>21.399065760000099</c:v>
                </c:pt>
                <c:pt idx="475">
                  <c:v>21.31640625</c:v>
                </c:pt>
                <c:pt idx="476">
                  <c:v>21.232821760000093</c:v>
                </c:pt>
                <c:pt idx="477">
                  <c:v>21.148330409999971</c:v>
                </c:pt>
                <c:pt idx="478">
                  <c:v>21.062950559999763</c:v>
                </c:pt>
                <c:pt idx="479">
                  <c:v>20.976700809999898</c:v>
                </c:pt>
                <c:pt idx="480">
                  <c:v>20.889599999999973</c:v>
                </c:pt>
                <c:pt idx="481">
                  <c:v>20.801667210000119</c:v>
                </c:pt>
                <c:pt idx="482">
                  <c:v>20.712921759999858</c:v>
                </c:pt>
                <c:pt idx="483">
                  <c:v>20.623383209999929</c:v>
                </c:pt>
                <c:pt idx="484">
                  <c:v>20.533071360000008</c:v>
                </c:pt>
                <c:pt idx="485">
                  <c:v>20.442006249999963</c:v>
                </c:pt>
                <c:pt idx="486">
                  <c:v>20.350208159999966</c:v>
                </c:pt>
                <c:pt idx="487">
                  <c:v>20.257697610000037</c:v>
                </c:pt>
                <c:pt idx="488">
                  <c:v>20.164495359999933</c:v>
                </c:pt>
                <c:pt idx="489">
                  <c:v>20.070622409999942</c:v>
                </c:pt>
                <c:pt idx="490">
                  <c:v>19.976100000000201</c:v>
                </c:pt>
                <c:pt idx="491">
                  <c:v>19.880949609999902</c:v>
                </c:pt>
                <c:pt idx="492">
                  <c:v>19.785192960000131</c:v>
                </c:pt>
                <c:pt idx="493">
                  <c:v>19.688852009999778</c:v>
                </c:pt>
                <c:pt idx="494">
                  <c:v>19.591948959999968</c:v>
                </c:pt>
                <c:pt idx="495">
                  <c:v>19.494506250000086</c:v>
                </c:pt>
                <c:pt idx="496">
                  <c:v>19.396546560000274</c:v>
                </c:pt>
                <c:pt idx="497">
                  <c:v>19.298092809999844</c:v>
                </c:pt>
                <c:pt idx="498">
                  <c:v>19.199168159999999</c:v>
                </c:pt>
                <c:pt idx="499">
                  <c:v>19.099796010000205</c:v>
                </c:pt>
                <c:pt idx="500">
                  <c:v>19</c:v>
                </c:pt>
                <c:pt idx="501">
                  <c:v>18.899804010000139</c:v>
                </c:pt>
                <c:pt idx="502">
                  <c:v>18.799232160000201</c:v>
                </c:pt>
                <c:pt idx="503">
                  <c:v>18.698308810000071</c:v>
                </c:pt>
                <c:pt idx="504">
                  <c:v>18.597058559999709</c:v>
                </c:pt>
                <c:pt idx="505">
                  <c:v>18.495506249999835</c:v>
                </c:pt>
                <c:pt idx="506">
                  <c:v>18.393676960000107</c:v>
                </c:pt>
                <c:pt idx="507">
                  <c:v>18.291596010000262</c:v>
                </c:pt>
                <c:pt idx="508">
                  <c:v>18.189288960000113</c:v>
                </c:pt>
                <c:pt idx="509">
                  <c:v>18.086781609999775</c:v>
                </c:pt>
                <c:pt idx="510">
                  <c:v>17.984099999999785</c:v>
                </c:pt>
                <c:pt idx="511">
                  <c:v>17.88127041000007</c:v>
                </c:pt>
                <c:pt idx="512">
                  <c:v>17.778319359999728</c:v>
                </c:pt>
                <c:pt idx="513">
                  <c:v>17.67527361000009</c:v>
                </c:pt>
                <c:pt idx="514">
                  <c:v>17.572160160000294</c:v>
                </c:pt>
                <c:pt idx="515">
                  <c:v>17.469006250000007</c:v>
                </c:pt>
                <c:pt idx="516">
                  <c:v>17.365839360000223</c:v>
                </c:pt>
                <c:pt idx="517">
                  <c:v>17.262687210000195</c:v>
                </c:pt>
                <c:pt idx="518">
                  <c:v>17.159577760000161</c:v>
                </c:pt>
                <c:pt idx="519">
                  <c:v>17.056539210000096</c:v>
                </c:pt>
                <c:pt idx="520">
                  <c:v>16.953600000000051</c:v>
                </c:pt>
                <c:pt idx="521">
                  <c:v>16.850788809999472</c:v>
                </c:pt>
                <c:pt idx="522">
                  <c:v>16.748134560000153</c:v>
                </c:pt>
                <c:pt idx="523">
                  <c:v>16.645666410000331</c:v>
                </c:pt>
                <c:pt idx="524">
                  <c:v>16.543413759999908</c:v>
                </c:pt>
                <c:pt idx="525">
                  <c:v>16.44140625</c:v>
                </c:pt>
                <c:pt idx="526">
                  <c:v>16.33967376000021</c:v>
                </c:pt>
                <c:pt idx="527">
                  <c:v>16.238246410000329</c:v>
                </c:pt>
                <c:pt idx="528">
                  <c:v>16.137154560000226</c:v>
                </c:pt>
                <c:pt idx="529">
                  <c:v>16.036428810000302</c:v>
                </c:pt>
                <c:pt idx="530">
                  <c:v>15.936100000000351</c:v>
                </c:pt>
                <c:pt idx="531">
                  <c:v>15.836199210000018</c:v>
                </c:pt>
                <c:pt idx="532">
                  <c:v>15.736757760000387</c:v>
                </c:pt>
                <c:pt idx="533">
                  <c:v>15.637807210000346</c:v>
                </c:pt>
                <c:pt idx="534">
                  <c:v>15.539379359999998</c:v>
                </c:pt>
                <c:pt idx="535">
                  <c:v>15.441506250000316</c:v>
                </c:pt>
                <c:pt idx="536">
                  <c:v>15.344220160000077</c:v>
                </c:pt>
                <c:pt idx="537">
                  <c:v>15.247553609999727</c:v>
                </c:pt>
                <c:pt idx="538">
                  <c:v>15.151539360000129</c:v>
                </c:pt>
                <c:pt idx="539">
                  <c:v>15.056210409999721</c:v>
                </c:pt>
                <c:pt idx="540">
                  <c:v>14.961600000000089</c:v>
                </c:pt>
                <c:pt idx="541">
                  <c:v>14.867741609999484</c:v>
                </c:pt>
                <c:pt idx="542">
                  <c:v>14.774668960000099</c:v>
                </c:pt>
                <c:pt idx="543">
                  <c:v>14.682416010000225</c:v>
                </c:pt>
                <c:pt idx="544">
                  <c:v>14.591016959999934</c:v>
                </c:pt>
                <c:pt idx="545">
                  <c:v>14.500506250000171</c:v>
                </c:pt>
                <c:pt idx="546">
                  <c:v>14.4109185599998</c:v>
                </c:pt>
                <c:pt idx="547">
                  <c:v>14.322288809999691</c:v>
                </c:pt>
                <c:pt idx="548">
                  <c:v>14.234652159999541</c:v>
                </c:pt>
                <c:pt idx="549">
                  <c:v>14.148044010000149</c:v>
                </c:pt>
                <c:pt idx="550">
                  <c:v>14.0625</c:v>
                </c:pt>
                <c:pt idx="551">
                  <c:v>13.978056010000273</c:v>
                </c:pt>
                <c:pt idx="552">
                  <c:v>13.894748159999608</c:v>
                </c:pt>
                <c:pt idx="553">
                  <c:v>13.812612809999564</c:v>
                </c:pt>
                <c:pt idx="554">
                  <c:v>13.731686560000071</c:v>
                </c:pt>
                <c:pt idx="555">
                  <c:v>13.652006250000113</c:v>
                </c:pt>
                <c:pt idx="556">
                  <c:v>13.573608959999774</c:v>
                </c:pt>
                <c:pt idx="557">
                  <c:v>13.496532009999783</c:v>
                </c:pt>
                <c:pt idx="558">
                  <c:v>13.420812959999921</c:v>
                </c:pt>
                <c:pt idx="559">
                  <c:v>13.346489609999935</c:v>
                </c:pt>
                <c:pt idx="560">
                  <c:v>13.273600000000215</c:v>
                </c:pt>
                <c:pt idx="561">
                  <c:v>13.202182410000205</c:v>
                </c:pt>
                <c:pt idx="562">
                  <c:v>13.132275359999994</c:v>
                </c:pt>
                <c:pt idx="563">
                  <c:v>13.063917609999862</c:v>
                </c:pt>
                <c:pt idx="564">
                  <c:v>12.997148160000052</c:v>
                </c:pt>
                <c:pt idx="565">
                  <c:v>12.932006250000086</c:v>
                </c:pt>
                <c:pt idx="566">
                  <c:v>12.868531359999906</c:v>
                </c:pt>
                <c:pt idx="567">
                  <c:v>12.806763209999644</c:v>
                </c:pt>
                <c:pt idx="568">
                  <c:v>12.74674175999985</c:v>
                </c:pt>
                <c:pt idx="569">
                  <c:v>12.688507210000125</c:v>
                </c:pt>
                <c:pt idx="570">
                  <c:v>12.632100000000264</c:v>
                </c:pt>
                <c:pt idx="571">
                  <c:v>12.577560809999795</c:v>
                </c:pt>
                <c:pt idx="572">
                  <c:v>12.524930559999802</c:v>
                </c:pt>
                <c:pt idx="573">
                  <c:v>12.474250409999513</c:v>
                </c:pt>
                <c:pt idx="574">
                  <c:v>12.425561760000164</c:v>
                </c:pt>
                <c:pt idx="575">
                  <c:v>12.37890625</c:v>
                </c:pt>
                <c:pt idx="576">
                  <c:v>12.334325760000183</c:v>
                </c:pt>
                <c:pt idx="577">
                  <c:v>12.291862409999794</c:v>
                </c:pt>
                <c:pt idx="578">
                  <c:v>12.251558559999467</c:v>
                </c:pt>
                <c:pt idx="579">
                  <c:v>12.213456809999798</c:v>
                </c:pt>
                <c:pt idx="580">
                  <c:v>12.177600000000211</c:v>
                </c:pt>
                <c:pt idx="581">
                  <c:v>12.144031210000321</c:v>
                </c:pt>
                <c:pt idx="582">
                  <c:v>12.112793760000386</c:v>
                </c:pt>
                <c:pt idx="583">
                  <c:v>12.083931209999946</c:v>
                </c:pt>
                <c:pt idx="584">
                  <c:v>12.057487359999868</c:v>
                </c:pt>
                <c:pt idx="585">
                  <c:v>12.033506250000073</c:v>
                </c:pt>
                <c:pt idx="586">
                  <c:v>12.012032159999762</c:v>
                </c:pt>
                <c:pt idx="587">
                  <c:v>11.993109610000602</c:v>
                </c:pt>
                <c:pt idx="588">
                  <c:v>11.976783360000127</c:v>
                </c:pt>
                <c:pt idx="589">
                  <c:v>11.963098410000384</c:v>
                </c:pt>
                <c:pt idx="590">
                  <c:v>11.952099999999973</c:v>
                </c:pt>
                <c:pt idx="591">
                  <c:v>11.943833610000183</c:v>
                </c:pt>
                <c:pt idx="592">
                  <c:v>11.938344960000222</c:v>
                </c:pt>
                <c:pt idx="593">
                  <c:v>11.935680009999714</c:v>
                </c:pt>
                <c:pt idx="594">
                  <c:v>11.935884960000067</c:v>
                </c:pt>
                <c:pt idx="595">
                  <c:v>11.939006250000148</c:v>
                </c:pt>
                <c:pt idx="596">
                  <c:v>11.945090559999699</c:v>
                </c:pt>
                <c:pt idx="597">
                  <c:v>11.95418480999956</c:v>
                </c:pt>
                <c:pt idx="598">
                  <c:v>11.96633616000031</c:v>
                </c:pt>
                <c:pt idx="599">
                  <c:v>11.981592009999758</c:v>
                </c:pt>
                <c:pt idx="600">
                  <c:v>12</c:v>
                </c:pt>
                <c:pt idx="601">
                  <c:v>12.021608010000591</c:v>
                </c:pt>
                <c:pt idx="602">
                  <c:v>12.046464159999459</c:v>
                </c:pt>
                <c:pt idx="603">
                  <c:v>12.074616809999725</c:v>
                </c:pt>
                <c:pt idx="604">
                  <c:v>12.106114560000151</c:v>
                </c:pt>
                <c:pt idx="605">
                  <c:v>12.141006250000373</c:v>
                </c:pt>
                <c:pt idx="606">
                  <c:v>12.179340959999763</c:v>
                </c:pt>
                <c:pt idx="607">
                  <c:v>12.221168010000156</c:v>
                </c:pt>
                <c:pt idx="608">
                  <c:v>12.266536959999712</c:v>
                </c:pt>
                <c:pt idx="609">
                  <c:v>12.315497609999966</c:v>
                </c:pt>
                <c:pt idx="610">
                  <c:v>12.36810000000014</c:v>
                </c:pt>
                <c:pt idx="611">
                  <c:v>12.424394409999877</c:v>
                </c:pt>
                <c:pt idx="612">
                  <c:v>12.484431359999917</c:v>
                </c:pt>
                <c:pt idx="613">
                  <c:v>12.548261610000509</c:v>
                </c:pt>
                <c:pt idx="614">
                  <c:v>12.615936160000274</c:v>
                </c:pt>
                <c:pt idx="615">
                  <c:v>12.687506249999842</c:v>
                </c:pt>
                <c:pt idx="616">
                  <c:v>12.763023359999352</c:v>
                </c:pt>
                <c:pt idx="617">
                  <c:v>12.842539210000496</c:v>
                </c:pt>
                <c:pt idx="618">
                  <c:v>12.926105760000382</c:v>
                </c:pt>
                <c:pt idx="619">
                  <c:v>13.013775210000176</c:v>
                </c:pt>
                <c:pt idx="620">
                  <c:v>13.105599999999868</c:v>
                </c:pt>
                <c:pt idx="621">
                  <c:v>13.201632809999865</c:v>
                </c:pt>
                <c:pt idx="622">
                  <c:v>13.301926560000311</c:v>
                </c:pt>
                <c:pt idx="623">
                  <c:v>13.406534410000177</c:v>
                </c:pt>
                <c:pt idx="624">
                  <c:v>13.515509760000214</c:v>
                </c:pt>
                <c:pt idx="625">
                  <c:v>13.62890625</c:v>
                </c:pt>
                <c:pt idx="626">
                  <c:v>13.746777759999759</c:v>
                </c:pt>
                <c:pt idx="627">
                  <c:v>13.869178409999449</c:v>
                </c:pt>
                <c:pt idx="628">
                  <c:v>13.996162559999675</c:v>
                </c:pt>
                <c:pt idx="629">
                  <c:v>14.127784810000321</c:v>
                </c:pt>
                <c:pt idx="630">
                  <c:v>14.264099999999871</c:v>
                </c:pt>
                <c:pt idx="631">
                  <c:v>14.405163209999728</c:v>
                </c:pt>
                <c:pt idx="632">
                  <c:v>14.551029760000119</c:v>
                </c:pt>
                <c:pt idx="633">
                  <c:v>14.701755209999874</c:v>
                </c:pt>
                <c:pt idx="634">
                  <c:v>14.857395359999828</c:v>
                </c:pt>
                <c:pt idx="635">
                  <c:v>15.018006249999871</c:v>
                </c:pt>
                <c:pt idx="636">
                  <c:v>15.183644159999403</c:v>
                </c:pt>
                <c:pt idx="637">
                  <c:v>15.354365610000286</c:v>
                </c:pt>
                <c:pt idx="638">
                  <c:v>15.530227359999799</c:v>
                </c:pt>
                <c:pt idx="639">
                  <c:v>15.711286410000412</c:v>
                </c:pt>
                <c:pt idx="640">
                  <c:v>15.897600000000239</c:v>
                </c:pt>
                <c:pt idx="641">
                  <c:v>16.089225610000085</c:v>
                </c:pt>
                <c:pt idx="642">
                  <c:v>16.286220960000037</c:v>
                </c:pt>
                <c:pt idx="643">
                  <c:v>16.488644010000144</c:v>
                </c:pt>
                <c:pt idx="644">
                  <c:v>16.696552959999508</c:v>
                </c:pt>
                <c:pt idx="645">
                  <c:v>16.910006250000151</c:v>
                </c:pt>
                <c:pt idx="646">
                  <c:v>17.129062559999966</c:v>
                </c:pt>
                <c:pt idx="647">
                  <c:v>17.353780809999307</c:v>
                </c:pt>
                <c:pt idx="648">
                  <c:v>17.584220160000086</c:v>
                </c:pt>
                <c:pt idx="649">
                  <c:v>17.820440009999629</c:v>
                </c:pt>
                <c:pt idx="650">
                  <c:v>18.0625</c:v>
                </c:pt>
                <c:pt idx="651">
                  <c:v>18.31046001000027</c:v>
                </c:pt>
                <c:pt idx="652">
                  <c:v>18.5643801599997</c:v>
                </c:pt>
                <c:pt idx="653">
                  <c:v>18.824320810000017</c:v>
                </c:pt>
                <c:pt idx="654">
                  <c:v>19.090342559999954</c:v>
                </c:pt>
                <c:pt idx="655">
                  <c:v>19.362506249999569</c:v>
                </c:pt>
                <c:pt idx="656">
                  <c:v>19.640872960000024</c:v>
                </c:pt>
                <c:pt idx="657">
                  <c:v>19.925504009999941</c:v>
                </c:pt>
                <c:pt idx="658">
                  <c:v>20.216460960000177</c:v>
                </c:pt>
                <c:pt idx="659">
                  <c:v>20.513805610000873</c:v>
                </c:pt>
                <c:pt idx="660">
                  <c:v>20.817599999999402</c:v>
                </c:pt>
                <c:pt idx="661">
                  <c:v>21.127906409999468</c:v>
                </c:pt>
                <c:pt idx="662">
                  <c:v>21.444787359999964</c:v>
                </c:pt>
                <c:pt idx="663">
                  <c:v>21.768305610000198</c:v>
                </c:pt>
                <c:pt idx="664">
                  <c:v>22.098524160000125</c:v>
                </c:pt>
                <c:pt idx="665">
                  <c:v>22.435506250000344</c:v>
                </c:pt>
                <c:pt idx="666">
                  <c:v>22.779315360000055</c:v>
                </c:pt>
                <c:pt idx="667">
                  <c:v>23.13001521000001</c:v>
                </c:pt>
                <c:pt idx="668">
                  <c:v>23.487669760000017</c:v>
                </c:pt>
                <c:pt idx="669">
                  <c:v>23.852343209999844</c:v>
                </c:pt>
                <c:pt idx="670">
                  <c:v>24.224099999999908</c:v>
                </c:pt>
                <c:pt idx="671">
                  <c:v>24.60300481000013</c:v>
                </c:pt>
                <c:pt idx="672">
                  <c:v>24.989122559999714</c:v>
                </c:pt>
                <c:pt idx="673">
                  <c:v>25.38251840999942</c:v>
                </c:pt>
                <c:pt idx="674">
                  <c:v>25.783257759999515</c:v>
                </c:pt>
                <c:pt idx="675">
                  <c:v>26.19140625</c:v>
                </c:pt>
                <c:pt idx="676">
                  <c:v>26.60702976000016</c:v>
                </c:pt>
                <c:pt idx="677">
                  <c:v>27.030194410000377</c:v>
                </c:pt>
                <c:pt idx="678">
                  <c:v>27.460966559999861</c:v>
                </c:pt>
                <c:pt idx="679">
                  <c:v>27.899412809999831</c:v>
                </c:pt>
                <c:pt idx="680">
                  <c:v>28.345599999999649</c:v>
                </c:pt>
                <c:pt idx="681">
                  <c:v>28.799595210000234</c:v>
                </c:pt>
                <c:pt idx="682">
                  <c:v>29.261465760000874</c:v>
                </c:pt>
                <c:pt idx="683">
                  <c:v>29.731279209999457</c:v>
                </c:pt>
                <c:pt idx="684">
                  <c:v>30.209103359999972</c:v>
                </c:pt>
                <c:pt idx="685">
                  <c:v>30.695006249999551</c:v>
                </c:pt>
                <c:pt idx="686">
                  <c:v>31.189056160000291</c:v>
                </c:pt>
                <c:pt idx="687">
                  <c:v>31.691321609999477</c:v>
                </c:pt>
                <c:pt idx="688">
                  <c:v>32.201871359998904</c:v>
                </c:pt>
                <c:pt idx="689">
                  <c:v>32.720774409999649</c:v>
                </c:pt>
                <c:pt idx="690">
                  <c:v>33.248099999999795</c:v>
                </c:pt>
                <c:pt idx="691">
                  <c:v>33.783917610000117</c:v>
                </c:pt>
                <c:pt idx="692">
                  <c:v>34.328296959999761</c:v>
                </c:pt>
                <c:pt idx="693">
                  <c:v>34.881308009999202</c:v>
                </c:pt>
                <c:pt idx="694">
                  <c:v>35.443020959999785</c:v>
                </c:pt>
                <c:pt idx="695">
                  <c:v>36.013506249999864</c:v>
                </c:pt>
                <c:pt idx="696">
                  <c:v>36.592834560000028</c:v>
                </c:pt>
                <c:pt idx="697">
                  <c:v>37.181076810000604</c:v>
                </c:pt>
                <c:pt idx="698">
                  <c:v>37.778304160000289</c:v>
                </c:pt>
                <c:pt idx="699">
                  <c:v>38.384588009999561</c:v>
                </c:pt>
                <c:pt idx="700">
                  <c:v>39</c:v>
                </c:pt>
                <c:pt idx="701">
                  <c:v>39.624612009999737</c:v>
                </c:pt>
                <c:pt idx="702">
                  <c:v>40.258496160000277</c:v>
                </c:pt>
                <c:pt idx="703">
                  <c:v>40.901724809999678</c:v>
                </c:pt>
                <c:pt idx="704">
                  <c:v>41.55437056000028</c:v>
                </c:pt>
                <c:pt idx="705">
                  <c:v>42.216506249999838</c:v>
                </c:pt>
                <c:pt idx="706">
                  <c:v>42.888204959999939</c:v>
                </c:pt>
                <c:pt idx="707">
                  <c:v>43.569540010000537</c:v>
                </c:pt>
                <c:pt idx="708">
                  <c:v>44.260584959999733</c:v>
                </c:pt>
                <c:pt idx="709">
                  <c:v>44.961413609999454</c:v>
                </c:pt>
                <c:pt idx="710">
                  <c:v>45.672100000000682</c:v>
                </c:pt>
                <c:pt idx="711">
                  <c:v>46.392718409999816</c:v>
                </c:pt>
                <c:pt idx="712">
                  <c:v>47.123343360000263</c:v>
                </c:pt>
                <c:pt idx="713">
                  <c:v>47.864049610000848</c:v>
                </c:pt>
                <c:pt idx="714">
                  <c:v>48.614912160000131</c:v>
                </c:pt>
                <c:pt idx="715">
                  <c:v>49.376006250000046</c:v>
                </c:pt>
                <c:pt idx="716">
                  <c:v>50.147407360000216</c:v>
                </c:pt>
                <c:pt idx="717">
                  <c:v>50.929191209999544</c:v>
                </c:pt>
                <c:pt idx="718">
                  <c:v>51.721433760000082</c:v>
                </c:pt>
                <c:pt idx="719">
                  <c:v>52.524211210000203</c:v>
                </c:pt>
                <c:pt idx="720">
                  <c:v>53.337599999999838</c:v>
                </c:pt>
                <c:pt idx="721">
                  <c:v>54.16167680999979</c:v>
                </c:pt>
                <c:pt idx="722">
                  <c:v>54.99651856000014</c:v>
                </c:pt>
                <c:pt idx="723">
                  <c:v>55.842202410000709</c:v>
                </c:pt>
                <c:pt idx="724">
                  <c:v>56.698805760000369</c:v>
                </c:pt>
                <c:pt idx="725">
                  <c:v>57.56640625</c:v>
                </c:pt>
                <c:pt idx="726">
                  <c:v>58.445081760000221</c:v>
                </c:pt>
                <c:pt idx="727">
                  <c:v>59.334910409999566</c:v>
                </c:pt>
                <c:pt idx="728">
                  <c:v>60.235970560000396</c:v>
                </c:pt>
                <c:pt idx="729">
                  <c:v>61.148340809999809</c:v>
                </c:pt>
                <c:pt idx="730">
                  <c:v>62.072099999999409</c:v>
                </c:pt>
                <c:pt idx="731">
                  <c:v>63.007327210000994</c:v>
                </c:pt>
                <c:pt idx="732">
                  <c:v>63.95410176000064</c:v>
                </c:pt>
                <c:pt idx="733">
                  <c:v>64.912503209999841</c:v>
                </c:pt>
                <c:pt idx="734">
                  <c:v>65.882611359999828</c:v>
                </c:pt>
                <c:pt idx="735">
                  <c:v>66.864506249999522</c:v>
                </c:pt>
                <c:pt idx="736">
                  <c:v>67.858268160000534</c:v>
                </c:pt>
                <c:pt idx="737">
                  <c:v>68.86397761000012</c:v>
                </c:pt>
                <c:pt idx="738">
                  <c:v>69.881715359999589</c:v>
                </c:pt>
                <c:pt idx="739">
                  <c:v>70.911562409999533</c:v>
                </c:pt>
                <c:pt idx="740">
                  <c:v>71.953599999999824</c:v>
                </c:pt>
                <c:pt idx="741">
                  <c:v>73.007909609999842</c:v>
                </c:pt>
                <c:pt idx="742">
                  <c:v>74.074572960000069</c:v>
                </c:pt>
                <c:pt idx="743">
                  <c:v>75.153672009999582</c:v>
                </c:pt>
                <c:pt idx="744">
                  <c:v>76.245288960000607</c:v>
                </c:pt>
                <c:pt idx="745">
                  <c:v>77.349506249999649</c:v>
                </c:pt>
                <c:pt idx="746">
                  <c:v>78.466406559999996</c:v>
                </c:pt>
                <c:pt idx="747">
                  <c:v>79.596072809999669</c:v>
                </c:pt>
                <c:pt idx="748">
                  <c:v>80.738588160000063</c:v>
                </c:pt>
                <c:pt idx="749">
                  <c:v>81.894036010000264</c:v>
                </c:pt>
                <c:pt idx="750">
                  <c:v>83.0625</c:v>
                </c:pt>
                <c:pt idx="751">
                  <c:v>84.244064009999647</c:v>
                </c:pt>
                <c:pt idx="752">
                  <c:v>85.43881216000068</c:v>
                </c:pt>
                <c:pt idx="753">
                  <c:v>86.64682881000067</c:v>
                </c:pt>
                <c:pt idx="754">
                  <c:v>87.8681985599992</c:v>
                </c:pt>
                <c:pt idx="755">
                  <c:v>89.103006249999908</c:v>
                </c:pt>
                <c:pt idx="756">
                  <c:v>90.351336959999344</c:v>
                </c:pt>
                <c:pt idx="757">
                  <c:v>91.613276010000163</c:v>
                </c:pt>
                <c:pt idx="758">
                  <c:v>92.888908959999981</c:v>
                </c:pt>
                <c:pt idx="759">
                  <c:v>94.178321610000694</c:v>
                </c:pt>
                <c:pt idx="760">
                  <c:v>95.481600000000981</c:v>
                </c:pt>
                <c:pt idx="761">
                  <c:v>96.798830409999482</c:v>
                </c:pt>
                <c:pt idx="762">
                  <c:v>98.130099359999576</c:v>
                </c:pt>
                <c:pt idx="763">
                  <c:v>99.475493610000058</c:v>
                </c:pt>
                <c:pt idx="764">
                  <c:v>100.83510016000037</c:v>
                </c:pt>
                <c:pt idx="765">
                  <c:v>102.20900625000013</c:v>
                </c:pt>
                <c:pt idx="766">
                  <c:v>103.59729935999985</c:v>
                </c:pt>
                <c:pt idx="767">
                  <c:v>105.00006721000022</c:v>
                </c:pt>
                <c:pt idx="768">
                  <c:v>106.41739775999963</c:v>
                </c:pt>
                <c:pt idx="769">
                  <c:v>107.8493792099996</c:v>
                </c:pt>
                <c:pt idx="770">
                  <c:v>109.29610000000002</c:v>
                </c:pt>
                <c:pt idx="771">
                  <c:v>110.75764880999941</c:v>
                </c:pt>
                <c:pt idx="772">
                  <c:v>112.23411456000053</c:v>
                </c:pt>
                <c:pt idx="773">
                  <c:v>113.72558640999955</c:v>
                </c:pt>
                <c:pt idx="774">
                  <c:v>115.23215375999939</c:v>
                </c:pt>
                <c:pt idx="775">
                  <c:v>116.75390625</c:v>
                </c:pt>
                <c:pt idx="776">
                  <c:v>118.29093376000014</c:v>
                </c:pt>
                <c:pt idx="777">
                  <c:v>119.84332640999969</c:v>
                </c:pt>
                <c:pt idx="778">
                  <c:v>121.41117455999961</c:v>
                </c:pt>
                <c:pt idx="779">
                  <c:v>122.99456881000015</c:v>
                </c:pt>
                <c:pt idx="780">
                  <c:v>124.59360000000015</c:v>
                </c:pt>
                <c:pt idx="781">
                  <c:v>126.20835920999957</c:v>
                </c:pt>
                <c:pt idx="782">
                  <c:v>127.83893776000036</c:v>
                </c:pt>
                <c:pt idx="783">
                  <c:v>129.4854272099999</c:v>
                </c:pt>
                <c:pt idx="784">
                  <c:v>131.14791935999983</c:v>
                </c:pt>
                <c:pt idx="785">
                  <c:v>132.82650624999997</c:v>
                </c:pt>
                <c:pt idx="786">
                  <c:v>134.52128015999961</c:v>
                </c:pt>
                <c:pt idx="787">
                  <c:v>136.23233361000098</c:v>
                </c:pt>
                <c:pt idx="788">
                  <c:v>137.95975935999991</c:v>
                </c:pt>
                <c:pt idx="789">
                  <c:v>139.70365040999923</c:v>
                </c:pt>
                <c:pt idx="790">
                  <c:v>141.46409999999969</c:v>
                </c:pt>
                <c:pt idx="791">
                  <c:v>143.24120160999973</c:v>
                </c:pt>
                <c:pt idx="792">
                  <c:v>145.03504896000072</c:v>
                </c:pt>
                <c:pt idx="793">
                  <c:v>146.84573600999988</c:v>
                </c:pt>
                <c:pt idx="794">
                  <c:v>148.67335695999941</c:v>
                </c:pt>
                <c:pt idx="795">
                  <c:v>150.51800624999942</c:v>
                </c:pt>
                <c:pt idx="796">
                  <c:v>152.37977856000043</c:v>
                </c:pt>
                <c:pt idx="797">
                  <c:v>154.25876880999999</c:v>
                </c:pt>
                <c:pt idx="798">
                  <c:v>156.15507215999992</c:v>
                </c:pt>
                <c:pt idx="799">
                  <c:v>158.06878401000017</c:v>
                </c:pt>
                <c:pt idx="800">
                  <c:v>160</c:v>
                </c:pt>
                <c:pt idx="801">
                  <c:v>161.94881600999884</c:v>
                </c:pt>
                <c:pt idx="802">
                  <c:v>163.9153281600004</c:v>
                </c:pt>
                <c:pt idx="803">
                  <c:v>165.89963281000018</c:v>
                </c:pt>
                <c:pt idx="804">
                  <c:v>167.90182655999934</c:v>
                </c:pt>
                <c:pt idx="805">
                  <c:v>169.92200624999964</c:v>
                </c:pt>
                <c:pt idx="806">
                  <c:v>171.96026896000012</c:v>
                </c:pt>
                <c:pt idx="807">
                  <c:v>174.01671201000067</c:v>
                </c:pt>
                <c:pt idx="808">
                  <c:v>176.0914329600007</c:v>
                </c:pt>
                <c:pt idx="809">
                  <c:v>178.18452961000048</c:v>
                </c:pt>
                <c:pt idx="810">
                  <c:v>180.29610000000139</c:v>
                </c:pt>
                <c:pt idx="811">
                  <c:v>182.42624241000044</c:v>
                </c:pt>
                <c:pt idx="812">
                  <c:v>184.5750553599994</c:v>
                </c:pt>
                <c:pt idx="813">
                  <c:v>186.74263760999997</c:v>
                </c:pt>
                <c:pt idx="814">
                  <c:v>188.92908816000113</c:v>
                </c:pt>
                <c:pt idx="815">
                  <c:v>191.1345062499995</c:v>
                </c:pt>
                <c:pt idx="816">
                  <c:v>193.35899136000035</c:v>
                </c:pt>
                <c:pt idx="817">
                  <c:v>195.60264320999909</c:v>
                </c:pt>
                <c:pt idx="818">
                  <c:v>197.86556176000045</c:v>
                </c:pt>
                <c:pt idx="819">
                  <c:v>200.14784720999933</c:v>
                </c:pt>
                <c:pt idx="820">
                  <c:v>202.44960000000015</c:v>
                </c:pt>
                <c:pt idx="821">
                  <c:v>204.77092081000001</c:v>
                </c:pt>
                <c:pt idx="822">
                  <c:v>207.11191056000007</c:v>
                </c:pt>
                <c:pt idx="823">
                  <c:v>209.47267041000009</c:v>
                </c:pt>
                <c:pt idx="824">
                  <c:v>211.85330175999957</c:v>
                </c:pt>
                <c:pt idx="825">
                  <c:v>214.25390625</c:v>
                </c:pt>
                <c:pt idx="826">
                  <c:v>216.67458576000149</c:v>
                </c:pt>
                <c:pt idx="827">
                  <c:v>219.11544240999888</c:v>
                </c:pt>
                <c:pt idx="828">
                  <c:v>221.5765785600006</c:v>
                </c:pt>
                <c:pt idx="829">
                  <c:v>224.05809680999982</c:v>
                </c:pt>
                <c:pt idx="830">
                  <c:v>226.56010000000128</c:v>
                </c:pt>
                <c:pt idx="831">
                  <c:v>229.08269121000058</c:v>
                </c:pt>
                <c:pt idx="832">
                  <c:v>231.62597376000053</c:v>
                </c:pt>
                <c:pt idx="833">
                  <c:v>234.19005121000077</c:v>
                </c:pt>
                <c:pt idx="834">
                  <c:v>236.77502735999906</c:v>
                </c:pt>
                <c:pt idx="835">
                  <c:v>239.3810062499997</c:v>
                </c:pt>
                <c:pt idx="836">
                  <c:v>242.00809215999811</c:v>
                </c:pt>
                <c:pt idx="837">
                  <c:v>244.656389609999</c:v>
                </c:pt>
                <c:pt idx="838">
                  <c:v>247.32600336000064</c:v>
                </c:pt>
                <c:pt idx="839">
                  <c:v>250.0170384100004</c:v>
                </c:pt>
                <c:pt idx="840">
                  <c:v>252.72959999999966</c:v>
                </c:pt>
                <c:pt idx="841">
                  <c:v>255.46379361000027</c:v>
                </c:pt>
                <c:pt idx="842">
                  <c:v>258.21972496000058</c:v>
                </c:pt>
                <c:pt idx="843">
                  <c:v>260.99750000999916</c:v>
                </c:pt>
                <c:pt idx="844">
                  <c:v>263.79722496000022</c:v>
                </c:pt>
                <c:pt idx="845">
                  <c:v>266.6190062499993</c:v>
                </c:pt>
                <c:pt idx="846">
                  <c:v>269.46295056000099</c:v>
                </c:pt>
                <c:pt idx="847">
                  <c:v>272.32916480999938</c:v>
                </c:pt>
                <c:pt idx="848">
                  <c:v>275.21775615999991</c:v>
                </c:pt>
                <c:pt idx="849">
                  <c:v>278.12883201000045</c:v>
                </c:pt>
                <c:pt idx="850">
                  <c:v>281.0625</c:v>
                </c:pt>
                <c:pt idx="851">
                  <c:v>284.01886800999887</c:v>
                </c:pt>
                <c:pt idx="852">
                  <c:v>286.99804415999938</c:v>
                </c:pt>
                <c:pt idx="853">
                  <c:v>290.00013681000019</c:v>
                </c:pt>
                <c:pt idx="854">
                  <c:v>293.02525456000103</c:v>
                </c:pt>
                <c:pt idx="855">
                  <c:v>296.07350624999867</c:v>
                </c:pt>
                <c:pt idx="856">
                  <c:v>299.14500095999892</c:v>
                </c:pt>
                <c:pt idx="857">
                  <c:v>302.23984800999938</c:v>
                </c:pt>
                <c:pt idx="858">
                  <c:v>305.35815696000077</c:v>
                </c:pt>
                <c:pt idx="859">
                  <c:v>308.50003760999925</c:v>
                </c:pt>
                <c:pt idx="860">
                  <c:v>311.66560000000027</c:v>
                </c:pt>
                <c:pt idx="861">
                  <c:v>314.85495441000126</c:v>
                </c:pt>
                <c:pt idx="862">
                  <c:v>318.06821135999894</c:v>
                </c:pt>
                <c:pt idx="863">
                  <c:v>321.30548161000002</c:v>
                </c:pt>
                <c:pt idx="864">
                  <c:v>324.56687616000022</c:v>
                </c:pt>
                <c:pt idx="865">
                  <c:v>327.85250624999935</c:v>
                </c:pt>
                <c:pt idx="866">
                  <c:v>331.16248335999853</c:v>
                </c:pt>
                <c:pt idx="867">
                  <c:v>334.49691920999999</c:v>
                </c:pt>
                <c:pt idx="868">
                  <c:v>337.85592575999885</c:v>
                </c:pt>
                <c:pt idx="869">
                  <c:v>341.23961520999956</c:v>
                </c:pt>
                <c:pt idx="870">
                  <c:v>344.64809999999875</c:v>
                </c:pt>
                <c:pt idx="871">
                  <c:v>348.08149281000033</c:v>
                </c:pt>
                <c:pt idx="872">
                  <c:v>351.53990656000042</c:v>
                </c:pt>
                <c:pt idx="873">
                  <c:v>355.0234544099992</c:v>
                </c:pt>
                <c:pt idx="874">
                  <c:v>358.53224976000024</c:v>
                </c:pt>
                <c:pt idx="875">
                  <c:v>362.06640625</c:v>
                </c:pt>
                <c:pt idx="876">
                  <c:v>365.62603776000083</c:v>
                </c:pt>
                <c:pt idx="877">
                  <c:v>369.21125840999889</c:v>
                </c:pt>
                <c:pt idx="878">
                  <c:v>372.82218256000033</c:v>
                </c:pt>
                <c:pt idx="879">
                  <c:v>376.45892481000055</c:v>
                </c:pt>
                <c:pt idx="880">
                  <c:v>380.12159999999926</c:v>
                </c:pt>
                <c:pt idx="881">
                  <c:v>383.81032320999975</c:v>
                </c:pt>
                <c:pt idx="882">
                  <c:v>387.52520976000073</c:v>
                </c:pt>
                <c:pt idx="883">
                  <c:v>391.26637520999952</c:v>
                </c:pt>
                <c:pt idx="884">
                  <c:v>395.03393536000067</c:v>
                </c:pt>
                <c:pt idx="885">
                  <c:v>398.82800624999891</c:v>
                </c:pt>
                <c:pt idx="886">
                  <c:v>402.64870415999917</c:v>
                </c:pt>
                <c:pt idx="887">
                  <c:v>406.4961456099993</c:v>
                </c:pt>
                <c:pt idx="888">
                  <c:v>410.37044736000075</c:v>
                </c:pt>
                <c:pt idx="889">
                  <c:v>414.27172641000129</c:v>
                </c:pt>
                <c:pt idx="890">
                  <c:v>418.20010000000093</c:v>
                </c:pt>
                <c:pt idx="891">
                  <c:v>422.15568561000009</c:v>
                </c:pt>
                <c:pt idx="892">
                  <c:v>426.1386009600003</c:v>
                </c:pt>
                <c:pt idx="893">
                  <c:v>430.14896401000055</c:v>
                </c:pt>
                <c:pt idx="894">
                  <c:v>434.18689296000093</c:v>
                </c:pt>
                <c:pt idx="895">
                  <c:v>438.25250625000012</c:v>
                </c:pt>
                <c:pt idx="896">
                  <c:v>442.34592255999951</c:v>
                </c:pt>
                <c:pt idx="897">
                  <c:v>446.46726080999997</c:v>
                </c:pt>
                <c:pt idx="898">
                  <c:v>450.616640160001</c:v>
                </c:pt>
                <c:pt idx="899">
                  <c:v>454.79418001000181</c:v>
                </c:pt>
                <c:pt idx="900">
                  <c:v>459</c:v>
                </c:pt>
                <c:pt idx="901">
                  <c:v>463.23422000999994</c:v>
                </c:pt>
                <c:pt idx="902">
                  <c:v>467.49696016000075</c:v>
                </c:pt>
                <c:pt idx="903">
                  <c:v>471.78834080999968</c:v>
                </c:pt>
                <c:pt idx="904">
                  <c:v>476.10848255999963</c:v>
                </c:pt>
                <c:pt idx="905">
                  <c:v>480.45750625000051</c:v>
                </c:pt>
                <c:pt idx="906">
                  <c:v>484.83553295999945</c:v>
                </c:pt>
                <c:pt idx="907">
                  <c:v>489.24268401000086</c:v>
                </c:pt>
                <c:pt idx="908">
                  <c:v>493.67908096000042</c:v>
                </c:pt>
                <c:pt idx="909">
                  <c:v>498.14484561000108</c:v>
                </c:pt>
                <c:pt idx="910">
                  <c:v>502.64009999999871</c:v>
                </c:pt>
                <c:pt idx="911">
                  <c:v>507.16496641000026</c:v>
                </c:pt>
                <c:pt idx="912">
                  <c:v>511.71956736000016</c:v>
                </c:pt>
                <c:pt idx="913">
                  <c:v>516.30402561000005</c:v>
                </c:pt>
                <c:pt idx="914">
                  <c:v>520.91846415999885</c:v>
                </c:pt>
                <c:pt idx="915">
                  <c:v>525.5630062500004</c:v>
                </c:pt>
                <c:pt idx="916">
                  <c:v>530.23777535999989</c:v>
                </c:pt>
                <c:pt idx="917">
                  <c:v>534.94289520999996</c:v>
                </c:pt>
                <c:pt idx="918">
                  <c:v>539.67848975999891</c:v>
                </c:pt>
                <c:pt idx="919">
                  <c:v>544.44468320999977</c:v>
                </c:pt>
                <c:pt idx="920">
                  <c:v>549.24160000000052</c:v>
                </c:pt>
                <c:pt idx="921">
                  <c:v>554.06936481000002</c:v>
                </c:pt>
                <c:pt idx="922">
                  <c:v>558.92810255999939</c:v>
                </c:pt>
                <c:pt idx="923">
                  <c:v>563.81793841000012</c:v>
                </c:pt>
                <c:pt idx="924">
                  <c:v>568.73899775999894</c:v>
                </c:pt>
                <c:pt idx="925">
                  <c:v>573.69140625</c:v>
                </c:pt>
                <c:pt idx="926">
                  <c:v>578.67528975999971</c:v>
                </c:pt>
                <c:pt idx="927">
                  <c:v>583.69077440999922</c:v>
                </c:pt>
                <c:pt idx="928">
                  <c:v>588.73798655999963</c:v>
                </c:pt>
                <c:pt idx="929">
                  <c:v>593.8170528099995</c:v>
                </c:pt>
                <c:pt idx="930">
                  <c:v>598.92809999999895</c:v>
                </c:pt>
                <c:pt idx="931">
                  <c:v>604.0712552100008</c:v>
                </c:pt>
                <c:pt idx="932">
                  <c:v>609.24664576000146</c:v>
                </c:pt>
                <c:pt idx="933">
                  <c:v>614.45439921000047</c:v>
                </c:pt>
                <c:pt idx="934">
                  <c:v>619.69464335999828</c:v>
                </c:pt>
                <c:pt idx="935">
                  <c:v>624.96750625000095</c:v>
                </c:pt>
                <c:pt idx="936">
                  <c:v>630.27311615999929</c:v>
                </c:pt>
                <c:pt idx="937">
                  <c:v>635.61160160999884</c:v>
                </c:pt>
                <c:pt idx="938">
                  <c:v>640.98309135999966</c:v>
                </c:pt>
                <c:pt idx="939">
                  <c:v>646.38771440999994</c:v>
                </c:pt>
                <c:pt idx="940">
                  <c:v>651.82560000000103</c:v>
                </c:pt>
                <c:pt idx="941">
                  <c:v>657.29687761000014</c:v>
                </c:pt>
                <c:pt idx="942">
                  <c:v>662.80167696000103</c:v>
                </c:pt>
                <c:pt idx="943">
                  <c:v>668.34012800999949</c:v>
                </c:pt>
                <c:pt idx="944">
                  <c:v>673.91236095999875</c:v>
                </c:pt>
                <c:pt idx="945">
                  <c:v>679.51850624999793</c:v>
                </c:pt>
                <c:pt idx="946">
                  <c:v>685.15869456000064</c:v>
                </c:pt>
                <c:pt idx="947">
                  <c:v>690.83305680999911</c:v>
                </c:pt>
                <c:pt idx="948">
                  <c:v>696.54172416000051</c:v>
                </c:pt>
                <c:pt idx="949">
                  <c:v>702.28482800999996</c:v>
                </c:pt>
                <c:pt idx="950">
                  <c:v>708.0625</c:v>
                </c:pt>
                <c:pt idx="951">
                  <c:v>713.8748720100009</c:v>
                </c:pt>
                <c:pt idx="952">
                  <c:v>719.72207616000037</c:v>
                </c:pt>
                <c:pt idx="953">
                  <c:v>725.60424481000064</c:v>
                </c:pt>
                <c:pt idx="954">
                  <c:v>731.52151055999866</c:v>
                </c:pt>
                <c:pt idx="955">
                  <c:v>737.47400625000023</c:v>
                </c:pt>
                <c:pt idx="956">
                  <c:v>743.46186495999928</c:v>
                </c:pt>
                <c:pt idx="957">
                  <c:v>749.48522000999878</c:v>
                </c:pt>
                <c:pt idx="958">
                  <c:v>755.54420496000034</c:v>
                </c:pt>
                <c:pt idx="959">
                  <c:v>761.63895360999823</c:v>
                </c:pt>
                <c:pt idx="960">
                  <c:v>767.76959999999963</c:v>
                </c:pt>
                <c:pt idx="961">
                  <c:v>773.93627841000011</c:v>
                </c:pt>
                <c:pt idx="962">
                  <c:v>780.13912335999908</c:v>
                </c:pt>
                <c:pt idx="963">
                  <c:v>786.37826961000133</c:v>
                </c:pt>
                <c:pt idx="964">
                  <c:v>792.65385215999891</c:v>
                </c:pt>
                <c:pt idx="965">
                  <c:v>798.96600624999883</c:v>
                </c:pt>
                <c:pt idx="966">
                  <c:v>805.31486736000033</c:v>
                </c:pt>
                <c:pt idx="967">
                  <c:v>811.70057121000104</c:v>
                </c:pt>
                <c:pt idx="968">
                  <c:v>818.12325375999967</c:v>
                </c:pt>
                <c:pt idx="969">
                  <c:v>824.58305121000058</c:v>
                </c:pt>
                <c:pt idx="970">
                  <c:v>831.08009999999945</c:v>
                </c:pt>
                <c:pt idx="971">
                  <c:v>837.61453681000012</c:v>
                </c:pt>
                <c:pt idx="972">
                  <c:v>844.18649855999956</c:v>
                </c:pt>
                <c:pt idx="973">
                  <c:v>850.79612241000063</c:v>
                </c:pt>
                <c:pt idx="974">
                  <c:v>857.44354576000137</c:v>
                </c:pt>
                <c:pt idx="975">
                  <c:v>864.12890625</c:v>
                </c:pt>
                <c:pt idx="976">
                  <c:v>870.85234175999881</c:v>
                </c:pt>
                <c:pt idx="977">
                  <c:v>877.61399040999936</c:v>
                </c:pt>
                <c:pt idx="978">
                  <c:v>884.41399055999955</c:v>
                </c:pt>
                <c:pt idx="979">
                  <c:v>891.25248080999927</c:v>
                </c:pt>
                <c:pt idx="980">
                  <c:v>898.1296000000018</c:v>
                </c:pt>
                <c:pt idx="981">
                  <c:v>905.04548721000128</c:v>
                </c:pt>
                <c:pt idx="982">
                  <c:v>912.0002817599991</c:v>
                </c:pt>
                <c:pt idx="983">
                  <c:v>918.99412320999977</c:v>
                </c:pt>
                <c:pt idx="984">
                  <c:v>926.02715136000052</c:v>
                </c:pt>
                <c:pt idx="985">
                  <c:v>933.09950624999874</c:v>
                </c:pt>
                <c:pt idx="986">
                  <c:v>940.21132815999749</c:v>
                </c:pt>
                <c:pt idx="987">
                  <c:v>947.3627576099982</c:v>
                </c:pt>
                <c:pt idx="988">
                  <c:v>954.55393536000042</c:v>
                </c:pt>
                <c:pt idx="989">
                  <c:v>961.78500241000097</c:v>
                </c:pt>
                <c:pt idx="990">
                  <c:v>969.05609999999979</c:v>
                </c:pt>
                <c:pt idx="991">
                  <c:v>976.36736960999906</c:v>
                </c:pt>
                <c:pt idx="992">
                  <c:v>983.71895296000116</c:v>
                </c:pt>
                <c:pt idx="993">
                  <c:v>991.11099200999956</c:v>
                </c:pt>
                <c:pt idx="994">
                  <c:v>998.54362895999884</c:v>
                </c:pt>
                <c:pt idx="995">
                  <c:v>1006.0170062500003</c:v>
                </c:pt>
                <c:pt idx="996">
                  <c:v>1013.5312665600009</c:v>
                </c:pt>
                <c:pt idx="997">
                  <c:v>1021.0865528100012</c:v>
                </c:pt>
                <c:pt idx="998">
                  <c:v>1028.6830081600008</c:v>
                </c:pt>
                <c:pt idx="999">
                  <c:v>1036.3207760099979</c:v>
                </c:pt>
                <c:pt idx="1000">
                  <c:v>1044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8-47B8-91C2-16890E97C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83432"/>
        <c:axId val="540884088"/>
      </c:scatterChart>
      <c:valAx>
        <c:axId val="5408834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4088"/>
        <c:crosses val="autoZero"/>
        <c:crossBetween val="midCat"/>
      </c:valAx>
      <c:valAx>
        <c:axId val="5408840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8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exp!$A$2:$A$52</c:f>
              <c:numCache>
                <c:formatCode>0.00_ 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exp!$B$2:$B$52</c:f>
              <c:numCache>
                <c:formatCode>0.00_ </c:formatCode>
                <c:ptCount val="51"/>
                <c:pt idx="0">
                  <c:v>0.8</c:v>
                </c:pt>
                <c:pt idx="1">
                  <c:v>0.64000000000000012</c:v>
                </c:pt>
                <c:pt idx="2">
                  <c:v>0.51200000000000012</c:v>
                </c:pt>
                <c:pt idx="3">
                  <c:v>0.40960000000000019</c:v>
                </c:pt>
                <c:pt idx="4">
                  <c:v>0.32768000000000019</c:v>
                </c:pt>
                <c:pt idx="5">
                  <c:v>0.26214400000000015</c:v>
                </c:pt>
                <c:pt idx="6">
                  <c:v>0.20971520000000016</c:v>
                </c:pt>
                <c:pt idx="7">
                  <c:v>0.16777216000000014</c:v>
                </c:pt>
                <c:pt idx="8">
                  <c:v>0.13421772800000012</c:v>
                </c:pt>
                <c:pt idx="9">
                  <c:v>0.10737418240000011</c:v>
                </c:pt>
                <c:pt idx="10">
                  <c:v>8.5899345920000092E-2</c:v>
                </c:pt>
                <c:pt idx="11">
                  <c:v>6.8719476736000096E-2</c:v>
                </c:pt>
                <c:pt idx="12">
                  <c:v>5.4975581388800078E-2</c:v>
                </c:pt>
                <c:pt idx="13">
                  <c:v>4.3980465111040062E-2</c:v>
                </c:pt>
                <c:pt idx="14">
                  <c:v>3.5184372088832058E-2</c:v>
                </c:pt>
                <c:pt idx="15">
                  <c:v>2.8147497671065648E-2</c:v>
                </c:pt>
                <c:pt idx="16">
                  <c:v>2.251799813685252E-2</c:v>
                </c:pt>
                <c:pt idx="17">
                  <c:v>1.8014398509482017E-2</c:v>
                </c:pt>
                <c:pt idx="18">
                  <c:v>1.4411518807585615E-2</c:v>
                </c:pt>
                <c:pt idx="19">
                  <c:v>1.1529215046068495E-2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A-4A1C-A480-CD1D790077E9}"/>
            </c:ext>
          </c:extLst>
        </c:ser>
        <c:ser>
          <c:idx val="1"/>
          <c:order val="1"/>
          <c:tx>
            <c:strRef>
              <c:f>exp!$C$1</c:f>
              <c:strCache>
                <c:ptCount val="1"/>
                <c:pt idx="0">
                  <c:v>y=exp(-dE/T)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exp!$A$2:$A$52</c:f>
              <c:numCache>
                <c:formatCode>0.00_ 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exp!$C$2:$C$52</c:f>
              <c:numCache>
                <c:formatCode>0.00_ </c:formatCode>
                <c:ptCount val="51"/>
                <c:pt idx="0">
                  <c:v>0.88249690258459546</c:v>
                </c:pt>
                <c:pt idx="1">
                  <c:v>0.85534532730742252</c:v>
                </c:pt>
                <c:pt idx="2">
                  <c:v>0.82257756239866464</c:v>
                </c:pt>
                <c:pt idx="3">
                  <c:v>0.78337746406081832</c:v>
                </c:pt>
                <c:pt idx="4">
                  <c:v>0.73699381331101099</c:v>
                </c:pt>
                <c:pt idx="5">
                  <c:v>0.68285705817565756</c:v>
                </c:pt>
                <c:pt idx="6">
                  <c:v>0.62074360406750029</c:v>
                </c:pt>
                <c:pt idx="7">
                  <c:v>0.5509856863494198</c:v>
                </c:pt>
                <c:pt idx="8">
                  <c:v>0.47470673781262673</c:v>
                </c:pt>
                <c:pt idx="9">
                  <c:v>0.39403222857512921</c:v>
                </c:pt>
                <c:pt idx="10">
                  <c:v>0.31218690430620816</c:v>
                </c:pt>
                <c:pt idx="11">
                  <c:v>0.23335566668177984</c:v>
                </c:pt>
                <c:pt idx="12">
                  <c:v>0.16218957635000422</c:v>
                </c:pt>
                <c:pt idx="13">
                  <c:v>0.10292684822989381</c:v>
                </c:pt>
                <c:pt idx="14">
                  <c:v>5.8298964751914338E-2</c:v>
                </c:pt>
                <c:pt idx="15">
                  <c:v>2.8646795877831217E-2</c:v>
                </c:pt>
                <c:pt idx="16">
                  <c:v>1.1785420073127526E-2</c:v>
                </c:pt>
                <c:pt idx="17">
                  <c:v>3.8831246661310348E-3</c:v>
                </c:pt>
                <c:pt idx="18">
                  <c:v>9.6934118891205503E-4</c:v>
                </c:pt>
                <c:pt idx="19">
                  <c:v>1.7103926979819298E-4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BA-4A1C-A480-CD1D7900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29680"/>
        <c:axId val="566526400"/>
      </c:scatterChart>
      <c:valAx>
        <c:axId val="5665296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526400"/>
        <c:crosses val="autoZero"/>
        <c:crossBetween val="midCat"/>
      </c:valAx>
      <c:valAx>
        <c:axId val="5665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529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'GM(1)'!#REF!</c:f>
            </c:numRef>
          </c:xVal>
          <c:yVal>
            <c:numRef>
              <c:f>'GM(1)'!#REF!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'GM(1)'!#REF!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6BC-4D63-B55A-4C2A30D9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53704"/>
        <c:axId val="195224920"/>
      </c:scatterChart>
      <c:valAx>
        <c:axId val="542253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224920"/>
        <c:crosses val="autoZero"/>
        <c:crossBetween val="midCat"/>
      </c:valAx>
      <c:valAx>
        <c:axId val="1952249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25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'SA(2)'!$D$1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'SA(2)'!$A$2:$A$389</c:f>
              <c:numCache>
                <c:formatCode>0.00_ </c:formatCode>
                <c:ptCount val="38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</c:numCache>
            </c:numRef>
          </c:xVal>
          <c:yVal>
            <c:numRef>
              <c:f>'SA(2)'!$D$2:$D$389</c:f>
              <c:numCache>
                <c:formatCode>0.00_ </c:formatCode>
                <c:ptCount val="388"/>
                <c:pt idx="0">
                  <c:v>-42</c:v>
                </c:pt>
                <c:pt idx="1">
                  <c:v>-42</c:v>
                </c:pt>
                <c:pt idx="2">
                  <c:v>-39.383686076650591</c:v>
                </c:pt>
                <c:pt idx="3">
                  <c:v>-39.383686076650591</c:v>
                </c:pt>
                <c:pt idx="4">
                  <c:v>-39.383686076650591</c:v>
                </c:pt>
                <c:pt idx="5">
                  <c:v>-40.603054342692502</c:v>
                </c:pt>
                <c:pt idx="6">
                  <c:v>-41.218553860226336</c:v>
                </c:pt>
                <c:pt idx="7">
                  <c:v>-42.458172899331274</c:v>
                </c:pt>
                <c:pt idx="8">
                  <c:v>-42.458172899331274</c:v>
                </c:pt>
                <c:pt idx="9">
                  <c:v>-47.543744729763546</c:v>
                </c:pt>
                <c:pt idx="10">
                  <c:v>-49.809582582100482</c:v>
                </c:pt>
                <c:pt idx="11">
                  <c:v>-49.809582582100482</c:v>
                </c:pt>
                <c:pt idx="12">
                  <c:v>-49.809582582100482</c:v>
                </c:pt>
                <c:pt idx="13">
                  <c:v>-55.18232049464347</c:v>
                </c:pt>
                <c:pt idx="14">
                  <c:v>-56.792228397434528</c:v>
                </c:pt>
                <c:pt idx="15">
                  <c:v>-56.792228397434528</c:v>
                </c:pt>
                <c:pt idx="16">
                  <c:v>-56.792228397434528</c:v>
                </c:pt>
                <c:pt idx="17">
                  <c:v>-56.792228397434528</c:v>
                </c:pt>
                <c:pt idx="18">
                  <c:v>-56.792228397434528</c:v>
                </c:pt>
                <c:pt idx="19">
                  <c:v>-56.792228397434528</c:v>
                </c:pt>
                <c:pt idx="20">
                  <c:v>-56.792228397434528</c:v>
                </c:pt>
                <c:pt idx="21">
                  <c:v>-58.570009510187305</c:v>
                </c:pt>
                <c:pt idx="22">
                  <c:v>-58.570009510187305</c:v>
                </c:pt>
                <c:pt idx="23">
                  <c:v>-60.37491938703063</c:v>
                </c:pt>
                <c:pt idx="24">
                  <c:v>-61.828125115507817</c:v>
                </c:pt>
                <c:pt idx="25">
                  <c:v>-61.828125115507817</c:v>
                </c:pt>
                <c:pt idx="26">
                  <c:v>-66.693941106107474</c:v>
                </c:pt>
                <c:pt idx="27">
                  <c:v>-69.404636695087646</c:v>
                </c:pt>
                <c:pt idx="28">
                  <c:v>-69.404636695087646</c:v>
                </c:pt>
                <c:pt idx="29">
                  <c:v>-72.307417719681354</c:v>
                </c:pt>
                <c:pt idx="30">
                  <c:v>-72.307417719681354</c:v>
                </c:pt>
                <c:pt idx="31">
                  <c:v>-75.666397249730537</c:v>
                </c:pt>
                <c:pt idx="32">
                  <c:v>-75.666397249730537</c:v>
                </c:pt>
                <c:pt idx="33">
                  <c:v>-78.625338294714396</c:v>
                </c:pt>
                <c:pt idx="34">
                  <c:v>-81.825709486198861</c:v>
                </c:pt>
                <c:pt idx="35">
                  <c:v>-84.403010569398802</c:v>
                </c:pt>
                <c:pt idx="36">
                  <c:v>-84.403010569398802</c:v>
                </c:pt>
                <c:pt idx="37">
                  <c:v>-84.403010569398802</c:v>
                </c:pt>
                <c:pt idx="38">
                  <c:v>-87.037409570245117</c:v>
                </c:pt>
                <c:pt idx="39">
                  <c:v>-88.529916846540402</c:v>
                </c:pt>
                <c:pt idx="40">
                  <c:v>-88.529916846540402</c:v>
                </c:pt>
                <c:pt idx="41">
                  <c:v>-88.563500672629232</c:v>
                </c:pt>
                <c:pt idx="42">
                  <c:v>-88.716065445634399</c:v>
                </c:pt>
                <c:pt idx="43">
                  <c:v>-88.716065445634399</c:v>
                </c:pt>
                <c:pt idx="44">
                  <c:v>-88.716065445634399</c:v>
                </c:pt>
                <c:pt idx="45">
                  <c:v>-88.739599685459595</c:v>
                </c:pt>
                <c:pt idx="46">
                  <c:v>-89.140034412034112</c:v>
                </c:pt>
                <c:pt idx="47">
                  <c:v>-89.140034412034112</c:v>
                </c:pt>
                <c:pt idx="48">
                  <c:v>-89.140034412034112</c:v>
                </c:pt>
                <c:pt idx="49">
                  <c:v>-89.140034412034112</c:v>
                </c:pt>
                <c:pt idx="50">
                  <c:v>-89.998897141395901</c:v>
                </c:pt>
                <c:pt idx="51">
                  <c:v>-89.998897141395901</c:v>
                </c:pt>
                <c:pt idx="52">
                  <c:v>-91.492126894369392</c:v>
                </c:pt>
                <c:pt idx="53">
                  <c:v>-91.492126894369392</c:v>
                </c:pt>
                <c:pt idx="54">
                  <c:v>-92.527651613165133</c:v>
                </c:pt>
                <c:pt idx="55">
                  <c:v>-92.929286730969224</c:v>
                </c:pt>
                <c:pt idx="56">
                  <c:v>-92.929286730969224</c:v>
                </c:pt>
                <c:pt idx="57">
                  <c:v>-92.929286730969224</c:v>
                </c:pt>
                <c:pt idx="58">
                  <c:v>-92.929286730969224</c:v>
                </c:pt>
                <c:pt idx="59">
                  <c:v>-94.334555482870471</c:v>
                </c:pt>
                <c:pt idx="60">
                  <c:v>-94.898225658912651</c:v>
                </c:pt>
                <c:pt idx="61">
                  <c:v>-94.898225658912651</c:v>
                </c:pt>
                <c:pt idx="62">
                  <c:v>-95.183353390174688</c:v>
                </c:pt>
                <c:pt idx="63">
                  <c:v>-95.183353390174688</c:v>
                </c:pt>
                <c:pt idx="64">
                  <c:v>-95.183353390174688</c:v>
                </c:pt>
                <c:pt idx="65">
                  <c:v>-95.183353390174688</c:v>
                </c:pt>
                <c:pt idx="66">
                  <c:v>-95.183353390174688</c:v>
                </c:pt>
                <c:pt idx="67">
                  <c:v>-95.241492416142663</c:v>
                </c:pt>
                <c:pt idx="68">
                  <c:v>-95.884268288876711</c:v>
                </c:pt>
                <c:pt idx="69">
                  <c:v>-95.884268288876711</c:v>
                </c:pt>
                <c:pt idx="70">
                  <c:v>-95.957033911965766</c:v>
                </c:pt>
                <c:pt idx="71">
                  <c:v>-95.957033911965766</c:v>
                </c:pt>
                <c:pt idx="72">
                  <c:v>-95.957033911965766</c:v>
                </c:pt>
                <c:pt idx="73">
                  <c:v>-95.968886152033917</c:v>
                </c:pt>
                <c:pt idx="74">
                  <c:v>-95.968886152033917</c:v>
                </c:pt>
                <c:pt idx="75">
                  <c:v>-95.968886152033917</c:v>
                </c:pt>
                <c:pt idx="76">
                  <c:v>-95.968886152033917</c:v>
                </c:pt>
                <c:pt idx="77">
                  <c:v>-95.996412051682398</c:v>
                </c:pt>
                <c:pt idx="78">
                  <c:v>-95.996412051682398</c:v>
                </c:pt>
                <c:pt idx="79">
                  <c:v>-95.996412051682398</c:v>
                </c:pt>
                <c:pt idx="80">
                  <c:v>-95.996412051682398</c:v>
                </c:pt>
                <c:pt idx="81">
                  <c:v>-95.996412051682398</c:v>
                </c:pt>
                <c:pt idx="82">
                  <c:v>-95.996412051682398</c:v>
                </c:pt>
                <c:pt idx="83">
                  <c:v>-95.996412051682398</c:v>
                </c:pt>
                <c:pt idx="84">
                  <c:v>-95.996412051682398</c:v>
                </c:pt>
                <c:pt idx="85">
                  <c:v>-95.996412051682398</c:v>
                </c:pt>
                <c:pt idx="86">
                  <c:v>-95.996412051682398</c:v>
                </c:pt>
                <c:pt idx="87">
                  <c:v>-95.996412051682398</c:v>
                </c:pt>
                <c:pt idx="88">
                  <c:v>-95.996412051682398</c:v>
                </c:pt>
                <c:pt idx="89">
                  <c:v>-95.996412051682398</c:v>
                </c:pt>
                <c:pt idx="90">
                  <c:v>-95.996412051682398</c:v>
                </c:pt>
                <c:pt idx="91">
                  <c:v>-95.996412051682398</c:v>
                </c:pt>
                <c:pt idx="92">
                  <c:v>-95.996412051682398</c:v>
                </c:pt>
                <c:pt idx="93">
                  <c:v>-95.996412051682398</c:v>
                </c:pt>
                <c:pt idx="94">
                  <c:v>-95.996412051682398</c:v>
                </c:pt>
                <c:pt idx="95">
                  <c:v>-95.996412051682398</c:v>
                </c:pt>
                <c:pt idx="96">
                  <c:v>-95.996412051682398</c:v>
                </c:pt>
                <c:pt idx="97">
                  <c:v>-95.996412051682398</c:v>
                </c:pt>
                <c:pt idx="98">
                  <c:v>-95.996412051682398</c:v>
                </c:pt>
                <c:pt idx="99">
                  <c:v>-95.996412051682398</c:v>
                </c:pt>
                <c:pt idx="100">
                  <c:v>-95.996412051682398</c:v>
                </c:pt>
                <c:pt idx="101">
                  <c:v>-95.996412051682398</c:v>
                </c:pt>
                <c:pt idx="102">
                  <c:v>-95.996412051682398</c:v>
                </c:pt>
                <c:pt idx="103">
                  <c:v>-95.996412051682398</c:v>
                </c:pt>
                <c:pt idx="104">
                  <c:v>-95.996412051682398</c:v>
                </c:pt>
                <c:pt idx="105">
                  <c:v>-95.996412051682398</c:v>
                </c:pt>
                <c:pt idx="106">
                  <c:v>-95.996412051682398</c:v>
                </c:pt>
                <c:pt idx="107">
                  <c:v>-95.996412051682398</c:v>
                </c:pt>
                <c:pt idx="108">
                  <c:v>-95.996412051682398</c:v>
                </c:pt>
                <c:pt idx="109">
                  <c:v>-95.996412051682398</c:v>
                </c:pt>
                <c:pt idx="110">
                  <c:v>-95.996412051682398</c:v>
                </c:pt>
                <c:pt idx="111">
                  <c:v>-95.996412051682398</c:v>
                </c:pt>
                <c:pt idx="112">
                  <c:v>-95.996412051682398</c:v>
                </c:pt>
                <c:pt idx="113">
                  <c:v>-95.996412051682398</c:v>
                </c:pt>
                <c:pt idx="114">
                  <c:v>-95.996412051682398</c:v>
                </c:pt>
                <c:pt idx="115">
                  <c:v>-95.996412051682398</c:v>
                </c:pt>
                <c:pt idx="116">
                  <c:v>-95.996412051682398</c:v>
                </c:pt>
                <c:pt idx="117">
                  <c:v>-95.996412051682398</c:v>
                </c:pt>
                <c:pt idx="118">
                  <c:v>-95.996412051682398</c:v>
                </c:pt>
                <c:pt idx="119">
                  <c:v>-95.996412051682398</c:v>
                </c:pt>
                <c:pt idx="120">
                  <c:v>-95.996412051682398</c:v>
                </c:pt>
                <c:pt idx="121">
                  <c:v>-95.996412051682398</c:v>
                </c:pt>
                <c:pt idx="122">
                  <c:v>-95.996412051682398</c:v>
                </c:pt>
                <c:pt idx="123">
                  <c:v>-95.996412051682398</c:v>
                </c:pt>
                <c:pt idx="124">
                  <c:v>-95.996412051682398</c:v>
                </c:pt>
                <c:pt idx="125">
                  <c:v>-95.996412051682398</c:v>
                </c:pt>
                <c:pt idx="126">
                  <c:v>-95.996412051682398</c:v>
                </c:pt>
                <c:pt idx="127">
                  <c:v>-95.996412051682398</c:v>
                </c:pt>
                <c:pt idx="128">
                  <c:v>-95.996412051682398</c:v>
                </c:pt>
                <c:pt idx="129">
                  <c:v>-95.996412051682398</c:v>
                </c:pt>
                <c:pt idx="130">
                  <c:v>-95.996412051682398</c:v>
                </c:pt>
                <c:pt idx="131">
                  <c:v>-95.996412051682398</c:v>
                </c:pt>
                <c:pt idx="132">
                  <c:v>-95.996412051682398</c:v>
                </c:pt>
                <c:pt idx="133">
                  <c:v>-95.996412051682398</c:v>
                </c:pt>
                <c:pt idx="134">
                  <c:v>-95.996412051682398</c:v>
                </c:pt>
                <c:pt idx="135">
                  <c:v>-95.996412051682398</c:v>
                </c:pt>
                <c:pt idx="136">
                  <c:v>-95.996412051682398</c:v>
                </c:pt>
                <c:pt idx="137">
                  <c:v>-95.996412051682398</c:v>
                </c:pt>
                <c:pt idx="138">
                  <c:v>-95.996412051682398</c:v>
                </c:pt>
                <c:pt idx="139">
                  <c:v>-95.996412051682398</c:v>
                </c:pt>
                <c:pt idx="140">
                  <c:v>-95.996412051682398</c:v>
                </c:pt>
                <c:pt idx="141">
                  <c:v>-95.996412051682398</c:v>
                </c:pt>
                <c:pt idx="142">
                  <c:v>-95.996412051682398</c:v>
                </c:pt>
                <c:pt idx="143">
                  <c:v>-95.996412051682398</c:v>
                </c:pt>
                <c:pt idx="144">
                  <c:v>-95.996412051682398</c:v>
                </c:pt>
                <c:pt idx="145">
                  <c:v>-95.996412051682398</c:v>
                </c:pt>
                <c:pt idx="146">
                  <c:v>-95.996412051682398</c:v>
                </c:pt>
                <c:pt idx="147">
                  <c:v>-95.996412051682398</c:v>
                </c:pt>
                <c:pt idx="148">
                  <c:v>-95.996412051682398</c:v>
                </c:pt>
                <c:pt idx="149">
                  <c:v>-95.996412051682398</c:v>
                </c:pt>
                <c:pt idx="150">
                  <c:v>-95.996412051682398</c:v>
                </c:pt>
                <c:pt idx="151">
                  <c:v>-95.996412051682398</c:v>
                </c:pt>
                <c:pt idx="152">
                  <c:v>-95.996412051682398</c:v>
                </c:pt>
                <c:pt idx="153">
                  <c:v>-95.996412051682398</c:v>
                </c:pt>
                <c:pt idx="154">
                  <c:v>-95.996412051682398</c:v>
                </c:pt>
                <c:pt idx="155">
                  <c:v>-95.996412051682398</c:v>
                </c:pt>
                <c:pt idx="156">
                  <c:v>-95.996412051682398</c:v>
                </c:pt>
                <c:pt idx="157">
                  <c:v>-95.996412051682398</c:v>
                </c:pt>
                <c:pt idx="158">
                  <c:v>-95.996412051682398</c:v>
                </c:pt>
                <c:pt idx="159">
                  <c:v>-95.996412051682398</c:v>
                </c:pt>
                <c:pt idx="160">
                  <c:v>-95.996412051682398</c:v>
                </c:pt>
                <c:pt idx="161">
                  <c:v>-95.996412051682398</c:v>
                </c:pt>
                <c:pt idx="162">
                  <c:v>-95.996412051682398</c:v>
                </c:pt>
                <c:pt idx="163">
                  <c:v>-95.996412051682398</c:v>
                </c:pt>
                <c:pt idx="164">
                  <c:v>-95.996412051682398</c:v>
                </c:pt>
                <c:pt idx="165">
                  <c:v>-95.996412051682398</c:v>
                </c:pt>
                <c:pt idx="166">
                  <c:v>-95.996412051682398</c:v>
                </c:pt>
                <c:pt idx="167">
                  <c:v>-95.996412051682398</c:v>
                </c:pt>
                <c:pt idx="168">
                  <c:v>-95.996412051682398</c:v>
                </c:pt>
                <c:pt idx="169">
                  <c:v>-95.996412051682398</c:v>
                </c:pt>
                <c:pt idx="170">
                  <c:v>-95.996412051682398</c:v>
                </c:pt>
                <c:pt idx="171">
                  <c:v>-95.996412051682398</c:v>
                </c:pt>
                <c:pt idx="172">
                  <c:v>-95.996412051682398</c:v>
                </c:pt>
                <c:pt idx="173">
                  <c:v>-95.996412051682398</c:v>
                </c:pt>
                <c:pt idx="174">
                  <c:v>-95.996412051682398</c:v>
                </c:pt>
                <c:pt idx="175">
                  <c:v>-95.996412051682398</c:v>
                </c:pt>
                <c:pt idx="176">
                  <c:v>-95.996412051682398</c:v>
                </c:pt>
                <c:pt idx="177">
                  <c:v>-95.996412051682398</c:v>
                </c:pt>
                <c:pt idx="178">
                  <c:v>-95.996412051682398</c:v>
                </c:pt>
                <c:pt idx="179">
                  <c:v>-95.996412051682398</c:v>
                </c:pt>
                <c:pt idx="180">
                  <c:v>-95.996412051682398</c:v>
                </c:pt>
                <c:pt idx="181">
                  <c:v>-95.996412051682398</c:v>
                </c:pt>
                <c:pt idx="182">
                  <c:v>-95.996412051682398</c:v>
                </c:pt>
                <c:pt idx="183">
                  <c:v>-95.996412051682398</c:v>
                </c:pt>
                <c:pt idx="184">
                  <c:v>-95.996412051682398</c:v>
                </c:pt>
                <c:pt idx="185">
                  <c:v>-95.996412051682398</c:v>
                </c:pt>
                <c:pt idx="186">
                  <c:v>-95.996412051682398</c:v>
                </c:pt>
                <c:pt idx="187">
                  <c:v>-95.996412051682398</c:v>
                </c:pt>
                <c:pt idx="188">
                  <c:v>-95.996412051682398</c:v>
                </c:pt>
                <c:pt idx="189">
                  <c:v>-95.996412051682398</c:v>
                </c:pt>
                <c:pt idx="190">
                  <c:v>-95.996412051682398</c:v>
                </c:pt>
                <c:pt idx="191">
                  <c:v>-95.996412051682398</c:v>
                </c:pt>
                <c:pt idx="192">
                  <c:v>-95.996412051682398</c:v>
                </c:pt>
                <c:pt idx="193">
                  <c:v>-95.996412051682398</c:v>
                </c:pt>
                <c:pt idx="194">
                  <c:v>-95.996412051682398</c:v>
                </c:pt>
                <c:pt idx="195">
                  <c:v>-95.996412051682398</c:v>
                </c:pt>
                <c:pt idx="196">
                  <c:v>-95.996412051682398</c:v>
                </c:pt>
                <c:pt idx="197">
                  <c:v>-95.996412051682398</c:v>
                </c:pt>
                <c:pt idx="198">
                  <c:v>-95.996412051682398</c:v>
                </c:pt>
                <c:pt idx="199">
                  <c:v>-95.996412051682398</c:v>
                </c:pt>
                <c:pt idx="200">
                  <c:v>-95.996412051682398</c:v>
                </c:pt>
                <c:pt idx="201">
                  <c:v>-95.996412051682398</c:v>
                </c:pt>
                <c:pt idx="202">
                  <c:v>-95.996412051682398</c:v>
                </c:pt>
                <c:pt idx="203">
                  <c:v>-95.996412051682398</c:v>
                </c:pt>
                <c:pt idx="204">
                  <c:v>-95.996412051682398</c:v>
                </c:pt>
                <c:pt idx="205">
                  <c:v>-95.996412051682398</c:v>
                </c:pt>
                <c:pt idx="206">
                  <c:v>-95.996412051682398</c:v>
                </c:pt>
                <c:pt idx="207">
                  <c:v>-95.996412051682398</c:v>
                </c:pt>
                <c:pt idx="208">
                  <c:v>-95.996412051682398</c:v>
                </c:pt>
                <c:pt idx="209">
                  <c:v>-95.996412051682398</c:v>
                </c:pt>
                <c:pt idx="210">
                  <c:v>-95.996412051682398</c:v>
                </c:pt>
                <c:pt idx="211">
                  <c:v>-95.996412051682398</c:v>
                </c:pt>
                <c:pt idx="212">
                  <c:v>-95.996412051682398</c:v>
                </c:pt>
                <c:pt idx="213">
                  <c:v>-95.996412051682398</c:v>
                </c:pt>
                <c:pt idx="214">
                  <c:v>-95.996412051682398</c:v>
                </c:pt>
                <c:pt idx="215">
                  <c:v>-95.996412051682398</c:v>
                </c:pt>
                <c:pt idx="216">
                  <c:v>-95.996412051682398</c:v>
                </c:pt>
                <c:pt idx="217">
                  <c:v>-95.996412051682398</c:v>
                </c:pt>
                <c:pt idx="218">
                  <c:v>-95.996412051682398</c:v>
                </c:pt>
                <c:pt idx="219">
                  <c:v>-95.996412051682398</c:v>
                </c:pt>
                <c:pt idx="220">
                  <c:v>-95.996412051682398</c:v>
                </c:pt>
                <c:pt idx="221">
                  <c:v>-95.996412051682398</c:v>
                </c:pt>
                <c:pt idx="222">
                  <c:v>-95.996412051682398</c:v>
                </c:pt>
                <c:pt idx="223">
                  <c:v>-95.996412051682398</c:v>
                </c:pt>
                <c:pt idx="224">
                  <c:v>-95.996412051682398</c:v>
                </c:pt>
                <c:pt idx="225">
                  <c:v>-95.996412051682398</c:v>
                </c:pt>
                <c:pt idx="226">
                  <c:v>-95.996412051682398</c:v>
                </c:pt>
                <c:pt idx="227">
                  <c:v>-95.996412051682398</c:v>
                </c:pt>
                <c:pt idx="228">
                  <c:v>-95.996412051682398</c:v>
                </c:pt>
                <c:pt idx="229">
                  <c:v>-95.996412051682398</c:v>
                </c:pt>
                <c:pt idx="230">
                  <c:v>-95.996412051682398</c:v>
                </c:pt>
                <c:pt idx="231">
                  <c:v>-95.996412051682398</c:v>
                </c:pt>
                <c:pt idx="232">
                  <c:v>-95.996412051682398</c:v>
                </c:pt>
                <c:pt idx="233">
                  <c:v>-95.996412051682398</c:v>
                </c:pt>
                <c:pt idx="234">
                  <c:v>-95.996412051682398</c:v>
                </c:pt>
                <c:pt idx="235">
                  <c:v>-95.996412051682398</c:v>
                </c:pt>
                <c:pt idx="236">
                  <c:v>-95.996412051682398</c:v>
                </c:pt>
                <c:pt idx="237">
                  <c:v>-95.996412051682398</c:v>
                </c:pt>
                <c:pt idx="238">
                  <c:v>-95.996412051682398</c:v>
                </c:pt>
                <c:pt idx="239">
                  <c:v>-95.996412051682398</c:v>
                </c:pt>
                <c:pt idx="240">
                  <c:v>-95.996412051682398</c:v>
                </c:pt>
                <c:pt idx="241">
                  <c:v>-95.996412051682398</c:v>
                </c:pt>
                <c:pt idx="242">
                  <c:v>-95.996412051682398</c:v>
                </c:pt>
                <c:pt idx="243">
                  <c:v>-95.996412051682398</c:v>
                </c:pt>
                <c:pt idx="244">
                  <c:v>-95.996412051682398</c:v>
                </c:pt>
                <c:pt idx="245">
                  <c:v>-95.996412051682398</c:v>
                </c:pt>
                <c:pt idx="246">
                  <c:v>-95.996412051682398</c:v>
                </c:pt>
                <c:pt idx="247">
                  <c:v>-95.996412051682398</c:v>
                </c:pt>
                <c:pt idx="248">
                  <c:v>-95.996412051682398</c:v>
                </c:pt>
                <c:pt idx="249">
                  <c:v>-95.996412051682398</c:v>
                </c:pt>
                <c:pt idx="250">
                  <c:v>-95.996412051682398</c:v>
                </c:pt>
                <c:pt idx="251">
                  <c:v>-95.996412051682398</c:v>
                </c:pt>
                <c:pt idx="252">
                  <c:v>-95.996412051682398</c:v>
                </c:pt>
                <c:pt idx="253">
                  <c:v>-95.996412051682398</c:v>
                </c:pt>
                <c:pt idx="254">
                  <c:v>-95.996412051682398</c:v>
                </c:pt>
                <c:pt idx="255">
                  <c:v>-95.996412051682398</c:v>
                </c:pt>
                <c:pt idx="256">
                  <c:v>-95.996412051682398</c:v>
                </c:pt>
                <c:pt idx="257">
                  <c:v>-95.996412051682398</c:v>
                </c:pt>
                <c:pt idx="258">
                  <c:v>-95.996412051682398</c:v>
                </c:pt>
                <c:pt idx="259">
                  <c:v>-95.996412051682398</c:v>
                </c:pt>
                <c:pt idx="260">
                  <c:v>-95.996412051682398</c:v>
                </c:pt>
                <c:pt idx="261">
                  <c:v>-95.996412051682398</c:v>
                </c:pt>
                <c:pt idx="262">
                  <c:v>-95.996412051682398</c:v>
                </c:pt>
                <c:pt idx="263">
                  <c:v>-95.996412051682398</c:v>
                </c:pt>
                <c:pt idx="264">
                  <c:v>-95.996412051682398</c:v>
                </c:pt>
                <c:pt idx="265">
                  <c:v>-95.996412051682398</c:v>
                </c:pt>
                <c:pt idx="266">
                  <c:v>-95.996412051682398</c:v>
                </c:pt>
                <c:pt idx="267">
                  <c:v>-95.996412051682398</c:v>
                </c:pt>
                <c:pt idx="268">
                  <c:v>-95.996412051682398</c:v>
                </c:pt>
                <c:pt idx="269">
                  <c:v>-95.996414828550527</c:v>
                </c:pt>
                <c:pt idx="270">
                  <c:v>-95.996414828550527</c:v>
                </c:pt>
                <c:pt idx="271">
                  <c:v>-95.996414828550527</c:v>
                </c:pt>
                <c:pt idx="272">
                  <c:v>-95.996414828550527</c:v>
                </c:pt>
                <c:pt idx="273">
                  <c:v>-95.996414828550527</c:v>
                </c:pt>
                <c:pt idx="274">
                  <c:v>-95.996414828550527</c:v>
                </c:pt>
                <c:pt idx="275">
                  <c:v>-95.996414828550527</c:v>
                </c:pt>
                <c:pt idx="276">
                  <c:v>-95.996414828550527</c:v>
                </c:pt>
                <c:pt idx="277">
                  <c:v>-95.996414828550527</c:v>
                </c:pt>
                <c:pt idx="278">
                  <c:v>-95.996414828550527</c:v>
                </c:pt>
                <c:pt idx="279">
                  <c:v>-95.996414828550527</c:v>
                </c:pt>
                <c:pt idx="280">
                  <c:v>-95.996414828550527</c:v>
                </c:pt>
                <c:pt idx="281">
                  <c:v>-95.996414828550527</c:v>
                </c:pt>
                <c:pt idx="282">
                  <c:v>-95.996414828550527</c:v>
                </c:pt>
                <c:pt idx="283">
                  <c:v>-95.996414828550527</c:v>
                </c:pt>
                <c:pt idx="284">
                  <c:v>-95.996414828550527</c:v>
                </c:pt>
                <c:pt idx="285">
                  <c:v>-95.996414828550527</c:v>
                </c:pt>
                <c:pt idx="286">
                  <c:v>-95.996414828550527</c:v>
                </c:pt>
                <c:pt idx="287">
                  <c:v>-95.996414828550527</c:v>
                </c:pt>
                <c:pt idx="288">
                  <c:v>-95.996414828550527</c:v>
                </c:pt>
                <c:pt idx="289">
                  <c:v>-95.996414828550527</c:v>
                </c:pt>
                <c:pt idx="290">
                  <c:v>-95.996414828550527</c:v>
                </c:pt>
                <c:pt idx="291">
                  <c:v>-95.996414828550527</c:v>
                </c:pt>
                <c:pt idx="292">
                  <c:v>-95.996414828550527</c:v>
                </c:pt>
                <c:pt idx="293">
                  <c:v>-95.996414828550527</c:v>
                </c:pt>
                <c:pt idx="294">
                  <c:v>-95.996414828550527</c:v>
                </c:pt>
                <c:pt idx="295">
                  <c:v>-95.996414828550527</c:v>
                </c:pt>
                <c:pt idx="296">
                  <c:v>-95.996414828550527</c:v>
                </c:pt>
                <c:pt idx="297">
                  <c:v>-95.996414828550527</c:v>
                </c:pt>
                <c:pt idx="298">
                  <c:v>-95.996414828550527</c:v>
                </c:pt>
                <c:pt idx="299">
                  <c:v>-95.996414828550527</c:v>
                </c:pt>
                <c:pt idx="300">
                  <c:v>-95.996414828550527</c:v>
                </c:pt>
                <c:pt idx="301">
                  <c:v>-95.996414828550527</c:v>
                </c:pt>
                <c:pt idx="302">
                  <c:v>-95.996414828550527</c:v>
                </c:pt>
                <c:pt idx="303">
                  <c:v>-95.996414828550527</c:v>
                </c:pt>
                <c:pt idx="304">
                  <c:v>-95.996414828550527</c:v>
                </c:pt>
                <c:pt idx="305">
                  <c:v>-95.996414828550527</c:v>
                </c:pt>
                <c:pt idx="306">
                  <c:v>-95.996414828550527</c:v>
                </c:pt>
                <c:pt idx="307">
                  <c:v>-95.997616835990527</c:v>
                </c:pt>
                <c:pt idx="308">
                  <c:v>-95.997616835990527</c:v>
                </c:pt>
                <c:pt idx="309">
                  <c:v>-95.997616835990527</c:v>
                </c:pt>
                <c:pt idx="310">
                  <c:v>-95.997616835990527</c:v>
                </c:pt>
                <c:pt idx="311">
                  <c:v>-95.997616835990527</c:v>
                </c:pt>
                <c:pt idx="312">
                  <c:v>-95.997616835990527</c:v>
                </c:pt>
                <c:pt idx="313">
                  <c:v>-95.997616835990527</c:v>
                </c:pt>
                <c:pt idx="314">
                  <c:v>-95.997616835990527</c:v>
                </c:pt>
                <c:pt idx="315">
                  <c:v>-95.997616835990527</c:v>
                </c:pt>
                <c:pt idx="316">
                  <c:v>-95.997616835990527</c:v>
                </c:pt>
                <c:pt idx="317">
                  <c:v>-95.997616835990527</c:v>
                </c:pt>
                <c:pt idx="318">
                  <c:v>-95.997616835990527</c:v>
                </c:pt>
                <c:pt idx="319">
                  <c:v>-95.997616835990527</c:v>
                </c:pt>
                <c:pt idx="320">
                  <c:v>-95.997616835990527</c:v>
                </c:pt>
                <c:pt idx="321">
                  <c:v>-95.997616835990527</c:v>
                </c:pt>
                <c:pt idx="322">
                  <c:v>-95.997616835990527</c:v>
                </c:pt>
                <c:pt idx="323">
                  <c:v>-95.997616835990527</c:v>
                </c:pt>
                <c:pt idx="324">
                  <c:v>-95.997616835990527</c:v>
                </c:pt>
                <c:pt idx="325">
                  <c:v>-95.997616835990527</c:v>
                </c:pt>
                <c:pt idx="326">
                  <c:v>-95.997616835990527</c:v>
                </c:pt>
                <c:pt idx="327">
                  <c:v>-95.997616835990527</c:v>
                </c:pt>
                <c:pt idx="328">
                  <c:v>-95.997616835990527</c:v>
                </c:pt>
                <c:pt idx="329">
                  <c:v>-95.997616835990527</c:v>
                </c:pt>
                <c:pt idx="330">
                  <c:v>-95.997616835990527</c:v>
                </c:pt>
                <c:pt idx="331">
                  <c:v>-95.997616835990527</c:v>
                </c:pt>
                <c:pt idx="332">
                  <c:v>-95.997616835990527</c:v>
                </c:pt>
                <c:pt idx="333">
                  <c:v>-95.997616835990527</c:v>
                </c:pt>
                <c:pt idx="334">
                  <c:v>-95.997616835990527</c:v>
                </c:pt>
                <c:pt idx="335">
                  <c:v>-95.997616835990527</c:v>
                </c:pt>
                <c:pt idx="336">
                  <c:v>-95.997616835990527</c:v>
                </c:pt>
                <c:pt idx="337">
                  <c:v>-95.997616835990527</c:v>
                </c:pt>
                <c:pt idx="338">
                  <c:v>-95.997616835990527</c:v>
                </c:pt>
                <c:pt idx="339">
                  <c:v>-95.997616835990527</c:v>
                </c:pt>
                <c:pt idx="340">
                  <c:v>-95.997616835990527</c:v>
                </c:pt>
                <c:pt idx="341">
                  <c:v>-95.997616835990527</c:v>
                </c:pt>
                <c:pt idx="342">
                  <c:v>-95.997616835990527</c:v>
                </c:pt>
                <c:pt idx="343">
                  <c:v>-95.997616835990527</c:v>
                </c:pt>
                <c:pt idx="344">
                  <c:v>-95.997616835990527</c:v>
                </c:pt>
                <c:pt idx="345">
                  <c:v>-95.997616835990527</c:v>
                </c:pt>
                <c:pt idx="346">
                  <c:v>-95.997616835990527</c:v>
                </c:pt>
                <c:pt idx="347">
                  <c:v>-95.997616835990527</c:v>
                </c:pt>
                <c:pt idx="348">
                  <c:v>-95.997616835990527</c:v>
                </c:pt>
                <c:pt idx="349">
                  <c:v>-95.997616835990527</c:v>
                </c:pt>
                <c:pt idx="350">
                  <c:v>-95.997616835990527</c:v>
                </c:pt>
                <c:pt idx="351">
                  <c:v>-95.997616835990527</c:v>
                </c:pt>
                <c:pt idx="352">
                  <c:v>-95.997616835990527</c:v>
                </c:pt>
                <c:pt idx="353">
                  <c:v>-95.997616835990527</c:v>
                </c:pt>
                <c:pt idx="354">
                  <c:v>-95.997616835990527</c:v>
                </c:pt>
                <c:pt idx="355">
                  <c:v>-95.997616835990527</c:v>
                </c:pt>
                <c:pt idx="356">
                  <c:v>-95.997616835990527</c:v>
                </c:pt>
                <c:pt idx="357">
                  <c:v>-95.997616835990527</c:v>
                </c:pt>
                <c:pt idx="358">
                  <c:v>-95.997616835990527</c:v>
                </c:pt>
                <c:pt idx="359">
                  <c:v>-95.997616835990527</c:v>
                </c:pt>
                <c:pt idx="360">
                  <c:v>-95.997616835990527</c:v>
                </c:pt>
                <c:pt idx="361">
                  <c:v>-95.997616835990527</c:v>
                </c:pt>
                <c:pt idx="362">
                  <c:v>-95.997616835990527</c:v>
                </c:pt>
                <c:pt idx="363">
                  <c:v>-95.997616835990527</c:v>
                </c:pt>
                <c:pt idx="364">
                  <c:v>-95.997616835990527</c:v>
                </c:pt>
                <c:pt idx="365">
                  <c:v>-95.997616835990527</c:v>
                </c:pt>
                <c:pt idx="366">
                  <c:v>-95.997616835990527</c:v>
                </c:pt>
                <c:pt idx="367">
                  <c:v>-95.997616835990527</c:v>
                </c:pt>
                <c:pt idx="368">
                  <c:v>-95.997616835990527</c:v>
                </c:pt>
                <c:pt idx="369">
                  <c:v>-95.997616835990527</c:v>
                </c:pt>
                <c:pt idx="370">
                  <c:v>-95.997616835990527</c:v>
                </c:pt>
                <c:pt idx="371">
                  <c:v>-95.997616835990527</c:v>
                </c:pt>
                <c:pt idx="372">
                  <c:v>-95.997616835990527</c:v>
                </c:pt>
                <c:pt idx="373">
                  <c:v>-95.997616835990527</c:v>
                </c:pt>
                <c:pt idx="374">
                  <c:v>-95.997616835990527</c:v>
                </c:pt>
                <c:pt idx="375">
                  <c:v>-95.997616835990527</c:v>
                </c:pt>
                <c:pt idx="376">
                  <c:v>-95.997616835990527</c:v>
                </c:pt>
                <c:pt idx="377">
                  <c:v>-95.997616835990527</c:v>
                </c:pt>
                <c:pt idx="378">
                  <c:v>-95.997616835990527</c:v>
                </c:pt>
                <c:pt idx="379">
                  <c:v>-95.997616835990527</c:v>
                </c:pt>
                <c:pt idx="380">
                  <c:v>-95.997616835990527</c:v>
                </c:pt>
                <c:pt idx="381">
                  <c:v>-95.997616835990527</c:v>
                </c:pt>
                <c:pt idx="382">
                  <c:v>-95.997616835990527</c:v>
                </c:pt>
                <c:pt idx="383">
                  <c:v>-95.997616835990527</c:v>
                </c:pt>
                <c:pt idx="384">
                  <c:v>-95.997616835990527</c:v>
                </c:pt>
                <c:pt idx="385">
                  <c:v>-95.997616835990527</c:v>
                </c:pt>
                <c:pt idx="386">
                  <c:v>-95.997616835990527</c:v>
                </c:pt>
                <c:pt idx="387">
                  <c:v>-95.997616835990527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EF-4AAF-884A-30B8342E2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156016"/>
        <c:axId val="662156344"/>
      </c:scatterChart>
      <c:valAx>
        <c:axId val="66215601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2156344"/>
        <c:crosses val="autoZero"/>
        <c:crossBetween val="midCat"/>
      </c:valAx>
      <c:valAx>
        <c:axId val="662156344"/>
        <c:scaling>
          <c:orientation val="minMax"/>
          <c:max val="-4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215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986</xdr:row>
      <xdr:rowOff>190500</xdr:rowOff>
    </xdr:from>
    <xdr:to>
      <xdr:col>12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FCE61C7-CA26-4477-BAF0-F349D8729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133350</xdr:colOff>
      <xdr:row>2</xdr:row>
      <xdr:rowOff>66674</xdr:rowOff>
    </xdr:from>
    <xdr:to>
      <xdr:col>6</xdr:col>
      <xdr:colOff>222250</xdr:colOff>
      <xdr:row>19</xdr:row>
      <xdr:rowOff>146049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F5A96F-CEFA-4D9D-8557-F1F4E7F09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986</xdr:row>
      <xdr:rowOff>190500</xdr:rowOff>
    </xdr:from>
    <xdr:to>
      <xdr:col>8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9086A6-E04E-43C5-AA6C-FC2587221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</xdr:row>
      <xdr:rowOff>19050</xdr:rowOff>
    </xdr:from>
    <xdr:to>
      <xdr:col>16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2AB86B5-A7E8-4D12-999E-3904D6623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986</xdr:row>
      <xdr:rowOff>190500</xdr:rowOff>
    </xdr:from>
    <xdr:to>
      <xdr:col>8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7016CF-DAA3-486B-9EE5-F8E0F1ABB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</xdr:row>
      <xdr:rowOff>19050</xdr:rowOff>
    </xdr:from>
    <xdr:to>
      <xdr:col>16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BF4FC7C-417B-4F79-9938-5AF1B1D6D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986</xdr:row>
      <xdr:rowOff>190500</xdr:rowOff>
    </xdr:from>
    <xdr:to>
      <xdr:col>8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6251A8-8521-4C34-8887-D968BA94A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</xdr:row>
      <xdr:rowOff>19050</xdr:rowOff>
    </xdr:from>
    <xdr:to>
      <xdr:col>16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7E2A778-817A-47D0-944E-138B575E4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986</xdr:row>
      <xdr:rowOff>190500</xdr:rowOff>
    </xdr:from>
    <xdr:to>
      <xdr:col>8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DE0EB60-7A50-48DD-90B4-EEE952FB7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</xdr:row>
      <xdr:rowOff>19050</xdr:rowOff>
    </xdr:from>
    <xdr:to>
      <xdr:col>16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DD7C2FA-94BD-4909-8B17-DA5CD3045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986</xdr:row>
      <xdr:rowOff>190500</xdr:rowOff>
    </xdr:from>
    <xdr:to>
      <xdr:col>8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D24864D-FF9F-40CB-B7A0-41A961F23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</xdr:row>
      <xdr:rowOff>19050</xdr:rowOff>
    </xdr:from>
    <xdr:to>
      <xdr:col>16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794F78B-03DE-476E-97D6-C8C50348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986</xdr:row>
      <xdr:rowOff>190500</xdr:rowOff>
    </xdr:from>
    <xdr:to>
      <xdr:col>8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18F0057-222E-4FF2-A3C0-390652717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</xdr:row>
      <xdr:rowOff>19050</xdr:rowOff>
    </xdr:from>
    <xdr:to>
      <xdr:col>16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A5C45B-AB05-4E18-9D47-3AE2E75A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986</xdr:row>
      <xdr:rowOff>190500</xdr:rowOff>
    </xdr:from>
    <xdr:to>
      <xdr:col>13</xdr:col>
      <xdr:colOff>184150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CC89AB9-504D-40B5-8EA3-6EB0B7D99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266700</xdr:colOff>
      <xdr:row>1</xdr:row>
      <xdr:rowOff>19050</xdr:rowOff>
    </xdr:from>
    <xdr:to>
      <xdr:col>21</xdr:col>
      <xdr:colOff>25400</xdr:colOff>
      <xdr:row>17</xdr:row>
      <xdr:rowOff>98425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3E9061E-D34C-4FCC-A951-78C68E384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219075</xdr:rowOff>
    </xdr:from>
    <xdr:to>
      <xdr:col>8</xdr:col>
      <xdr:colOff>622300</xdr:colOff>
      <xdr:row>15</xdr:row>
      <xdr:rowOff>209551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FD1C305-2DA1-477F-B843-81E7A394B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986</xdr:row>
      <xdr:rowOff>190500</xdr:rowOff>
    </xdr:from>
    <xdr:to>
      <xdr:col>19</xdr:col>
      <xdr:colOff>0</xdr:colOff>
      <xdr:row>1000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3CE0A9B-37F9-445C-A8AC-6CD6EF2A6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100011</xdr:colOff>
      <xdr:row>4</xdr:row>
      <xdr:rowOff>161925</xdr:rowOff>
    </xdr:from>
    <xdr:to>
      <xdr:col>18</xdr:col>
      <xdr:colOff>428624</xdr:colOff>
      <xdr:row>18</xdr:row>
      <xdr:rowOff>228600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5023667-D775-4A73-AEB6-1190A0BB6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0916-2A52-49EF-8B29-2F6BC1CB3A7D}">
  <dimension ref="A1:J1002"/>
  <sheetViews>
    <sheetView workbookViewId="0">
      <selection activeCell="J8" sqref="J8"/>
    </sheetView>
  </sheetViews>
  <sheetFormatPr defaultRowHeight="18.75" x14ac:dyDescent="0.4"/>
  <cols>
    <col min="1" max="1" width="8.625" style="1"/>
    <col min="4" max="4" width="8.625" style="2"/>
    <col min="5" max="5" width="12.5" style="2" customWidth="1"/>
    <col min="6" max="6" width="11.625" style="2" customWidth="1"/>
    <col min="7" max="7" width="10.625" style="2" customWidth="1"/>
    <col min="8" max="8" width="13.125" style="2" customWidth="1"/>
    <col min="9" max="9" width="8.625" style="2"/>
    <col min="10" max="10" width="11.25" style="2" customWidth="1"/>
  </cols>
  <sheetData>
    <row r="1" spans="1:2" x14ac:dyDescent="0.4">
      <c r="A1" s="1" t="s">
        <v>0</v>
      </c>
      <c r="B1" t="s">
        <v>1</v>
      </c>
    </row>
    <row r="2" spans="1:2" x14ac:dyDescent="0.4">
      <c r="A2" s="1">
        <v>0</v>
      </c>
      <c r="B2" s="1">
        <f>A2^4-16*A2^3+88*A2^2-190*A2+144</f>
        <v>144</v>
      </c>
    </row>
    <row r="3" spans="1:2" x14ac:dyDescent="0.4">
      <c r="A3" s="1">
        <v>0.01</v>
      </c>
      <c r="B3" s="1">
        <f t="shared" ref="B3:B66" si="0">A3^4-16*A3^3+88*A3^2-190*A3+144</f>
        <v>142.10878400999999</v>
      </c>
    </row>
    <row r="4" spans="1:2" x14ac:dyDescent="0.4">
      <c r="A4" s="1">
        <v>0.02</v>
      </c>
      <c r="B4" s="1">
        <f t="shared" si="0"/>
        <v>140.23507215999999</v>
      </c>
    </row>
    <row r="5" spans="1:2" x14ac:dyDescent="0.4">
      <c r="A5" s="1">
        <v>0.03</v>
      </c>
      <c r="B5" s="1">
        <f t="shared" si="0"/>
        <v>138.37876881</v>
      </c>
    </row>
    <row r="6" spans="1:2" x14ac:dyDescent="0.4">
      <c r="A6" s="1">
        <v>0.04</v>
      </c>
      <c r="B6" s="1">
        <f t="shared" si="0"/>
        <v>136.53977856</v>
      </c>
    </row>
    <row r="7" spans="1:2" x14ac:dyDescent="0.4">
      <c r="A7" s="1">
        <v>0.05</v>
      </c>
      <c r="B7" s="1">
        <f t="shared" si="0"/>
        <v>134.71800625</v>
      </c>
    </row>
    <row r="8" spans="1:2" x14ac:dyDescent="0.4">
      <c r="A8" s="1">
        <v>0.06</v>
      </c>
      <c r="B8" s="1">
        <f t="shared" si="0"/>
        <v>132.91335695999999</v>
      </c>
    </row>
    <row r="9" spans="1:2" x14ac:dyDescent="0.4">
      <c r="A9" s="1">
        <v>7.0000000000000007E-2</v>
      </c>
      <c r="B9" s="1">
        <f t="shared" si="0"/>
        <v>131.12573601</v>
      </c>
    </row>
    <row r="10" spans="1:2" x14ac:dyDescent="0.4">
      <c r="A10" s="1">
        <v>0.08</v>
      </c>
      <c r="B10" s="1">
        <f t="shared" si="0"/>
        <v>129.35504896</v>
      </c>
    </row>
    <row r="11" spans="1:2" x14ac:dyDescent="0.4">
      <c r="A11" s="1">
        <v>0.09</v>
      </c>
      <c r="B11" s="1">
        <f t="shared" si="0"/>
        <v>127.60120161</v>
      </c>
    </row>
    <row r="12" spans="1:2" x14ac:dyDescent="0.4">
      <c r="A12" s="1">
        <v>0.1</v>
      </c>
      <c r="B12" s="1">
        <f t="shared" si="0"/>
        <v>125.86410000000001</v>
      </c>
    </row>
    <row r="13" spans="1:2" x14ac:dyDescent="0.4">
      <c r="A13" s="1">
        <v>0.11</v>
      </c>
      <c r="B13" s="1">
        <f t="shared" si="0"/>
        <v>124.14365041000001</v>
      </c>
    </row>
    <row r="14" spans="1:2" x14ac:dyDescent="0.4">
      <c r="A14" s="1">
        <v>0.12</v>
      </c>
      <c r="B14" s="1">
        <f t="shared" si="0"/>
        <v>122.43975936</v>
      </c>
    </row>
    <row r="15" spans="1:2" x14ac:dyDescent="0.4">
      <c r="A15" s="1">
        <v>0.13</v>
      </c>
      <c r="B15" s="1">
        <f t="shared" si="0"/>
        <v>120.75233360999999</v>
      </c>
    </row>
    <row r="16" spans="1:2" x14ac:dyDescent="0.4">
      <c r="A16" s="1">
        <v>0.14000000000000001</v>
      </c>
      <c r="B16" s="1">
        <f t="shared" si="0"/>
        <v>119.08128016000001</v>
      </c>
    </row>
    <row r="17" spans="1:2" x14ac:dyDescent="0.4">
      <c r="A17" s="1">
        <v>0.15</v>
      </c>
      <c r="B17" s="1">
        <f t="shared" si="0"/>
        <v>117.42650625</v>
      </c>
    </row>
    <row r="18" spans="1:2" x14ac:dyDescent="0.4">
      <c r="A18" s="1">
        <v>0.16</v>
      </c>
      <c r="B18" s="1">
        <f t="shared" si="0"/>
        <v>115.78791935999999</v>
      </c>
    </row>
    <row r="19" spans="1:2" x14ac:dyDescent="0.4">
      <c r="A19" s="1">
        <v>0.17</v>
      </c>
      <c r="B19" s="1">
        <f t="shared" si="0"/>
        <v>114.16542720999999</v>
      </c>
    </row>
    <row r="20" spans="1:2" x14ac:dyDescent="0.4">
      <c r="A20" s="1">
        <v>0.18</v>
      </c>
      <c r="B20" s="1">
        <f t="shared" si="0"/>
        <v>112.55893776000001</v>
      </c>
    </row>
    <row r="21" spans="1:2" x14ac:dyDescent="0.4">
      <c r="A21" s="1">
        <v>0.19</v>
      </c>
      <c r="B21" s="1">
        <f t="shared" si="0"/>
        <v>110.96835920999999</v>
      </c>
    </row>
    <row r="22" spans="1:2" x14ac:dyDescent="0.4">
      <c r="A22" s="1">
        <v>0.2</v>
      </c>
      <c r="B22" s="1">
        <f t="shared" si="0"/>
        <v>109.39359999999999</v>
      </c>
    </row>
    <row r="23" spans="1:2" x14ac:dyDescent="0.4">
      <c r="A23" s="1">
        <v>0.21</v>
      </c>
      <c r="B23" s="1">
        <f t="shared" si="0"/>
        <v>107.83456881000001</v>
      </c>
    </row>
    <row r="24" spans="1:2" x14ac:dyDescent="0.4">
      <c r="A24" s="1">
        <v>0.22</v>
      </c>
      <c r="B24" s="1">
        <f t="shared" si="0"/>
        <v>106.29117456</v>
      </c>
    </row>
    <row r="25" spans="1:2" x14ac:dyDescent="0.4">
      <c r="A25" s="1">
        <v>0.23</v>
      </c>
      <c r="B25" s="1">
        <f t="shared" si="0"/>
        <v>104.76332640999999</v>
      </c>
    </row>
    <row r="26" spans="1:2" x14ac:dyDescent="0.4">
      <c r="A26" s="1">
        <v>0.24</v>
      </c>
      <c r="B26" s="1">
        <f t="shared" si="0"/>
        <v>103.25093376</v>
      </c>
    </row>
    <row r="27" spans="1:2" x14ac:dyDescent="0.4">
      <c r="A27" s="1">
        <v>0.25</v>
      </c>
      <c r="B27" s="1">
        <f t="shared" si="0"/>
        <v>101.75390625</v>
      </c>
    </row>
    <row r="28" spans="1:2" x14ac:dyDescent="0.4">
      <c r="A28" s="1">
        <v>0.26</v>
      </c>
      <c r="B28" s="1">
        <f t="shared" si="0"/>
        <v>100.27215376000001</v>
      </c>
    </row>
    <row r="29" spans="1:2" x14ac:dyDescent="0.4">
      <c r="A29" s="1">
        <v>0.27</v>
      </c>
      <c r="B29" s="1">
        <f t="shared" si="0"/>
        <v>98.805586409999989</v>
      </c>
    </row>
    <row r="30" spans="1:2" x14ac:dyDescent="0.4">
      <c r="A30" s="1">
        <v>0.28000000000000003</v>
      </c>
      <c r="B30" s="1">
        <f t="shared" si="0"/>
        <v>97.354114559999999</v>
      </c>
    </row>
    <row r="31" spans="1:2" x14ac:dyDescent="0.4">
      <c r="A31" s="1">
        <v>0.28999999999999998</v>
      </c>
      <c r="B31" s="1">
        <f t="shared" si="0"/>
        <v>95.917648810000003</v>
      </c>
    </row>
    <row r="32" spans="1:2" x14ac:dyDescent="0.4">
      <c r="A32" s="1">
        <v>0.3</v>
      </c>
      <c r="B32" s="1">
        <f t="shared" si="0"/>
        <v>94.496099999999998</v>
      </c>
    </row>
    <row r="33" spans="1:2" x14ac:dyDescent="0.4">
      <c r="A33" s="1">
        <v>0.31</v>
      </c>
      <c r="B33" s="1">
        <f t="shared" si="0"/>
        <v>93.089379210000004</v>
      </c>
    </row>
    <row r="34" spans="1:2" x14ac:dyDescent="0.4">
      <c r="A34" s="1">
        <v>0.32</v>
      </c>
      <c r="B34" s="1">
        <f t="shared" si="0"/>
        <v>91.697397760000001</v>
      </c>
    </row>
    <row r="35" spans="1:2" x14ac:dyDescent="0.4">
      <c r="A35" s="1">
        <v>0.33</v>
      </c>
      <c r="B35" s="1">
        <f t="shared" si="0"/>
        <v>90.320067209999991</v>
      </c>
    </row>
    <row r="36" spans="1:2" x14ac:dyDescent="0.4">
      <c r="A36" s="1">
        <v>0.34</v>
      </c>
      <c r="B36" s="1">
        <f t="shared" si="0"/>
        <v>88.957299359999993</v>
      </c>
    </row>
    <row r="37" spans="1:2" x14ac:dyDescent="0.4">
      <c r="A37" s="1">
        <v>0.35</v>
      </c>
      <c r="B37" s="1">
        <f t="shared" si="0"/>
        <v>87.609006249999993</v>
      </c>
    </row>
    <row r="38" spans="1:2" x14ac:dyDescent="0.4">
      <c r="A38" s="1">
        <v>0.36</v>
      </c>
      <c r="B38" s="1">
        <f t="shared" si="0"/>
        <v>86.275100160000008</v>
      </c>
    </row>
    <row r="39" spans="1:2" x14ac:dyDescent="0.4">
      <c r="A39" s="1">
        <v>0.37</v>
      </c>
      <c r="B39" s="1">
        <f t="shared" si="0"/>
        <v>84.955493610000005</v>
      </c>
    </row>
    <row r="40" spans="1:2" x14ac:dyDescent="0.4">
      <c r="A40" s="1">
        <v>0.38</v>
      </c>
      <c r="B40" s="1">
        <f t="shared" si="0"/>
        <v>83.650099359999999</v>
      </c>
    </row>
    <row r="41" spans="1:2" x14ac:dyDescent="0.4">
      <c r="A41" s="1">
        <v>0.39</v>
      </c>
      <c r="B41" s="1">
        <f t="shared" si="0"/>
        <v>82.358830409999996</v>
      </c>
    </row>
    <row r="42" spans="1:2" x14ac:dyDescent="0.4">
      <c r="A42" s="1">
        <v>0.4</v>
      </c>
      <c r="B42" s="1">
        <f t="shared" si="0"/>
        <v>81.081600000000009</v>
      </c>
    </row>
    <row r="43" spans="1:2" x14ac:dyDescent="0.4">
      <c r="A43" s="1">
        <v>0.41</v>
      </c>
      <c r="B43" s="1">
        <f t="shared" si="0"/>
        <v>79.818321610000012</v>
      </c>
    </row>
    <row r="44" spans="1:2" x14ac:dyDescent="0.4">
      <c r="A44" s="1">
        <v>0.42</v>
      </c>
      <c r="B44" s="1">
        <f t="shared" si="0"/>
        <v>78.568908960000002</v>
      </c>
    </row>
    <row r="45" spans="1:2" x14ac:dyDescent="0.4">
      <c r="A45" s="1">
        <v>0.43</v>
      </c>
      <c r="B45" s="1">
        <f t="shared" si="0"/>
        <v>77.333276009999992</v>
      </c>
    </row>
    <row r="46" spans="1:2" x14ac:dyDescent="0.4">
      <c r="A46" s="1">
        <v>0.44</v>
      </c>
      <c r="B46" s="1">
        <f t="shared" si="0"/>
        <v>76.111336960000003</v>
      </c>
    </row>
    <row r="47" spans="1:2" x14ac:dyDescent="0.4">
      <c r="A47" s="1">
        <v>0.45</v>
      </c>
      <c r="B47" s="1">
        <f t="shared" si="0"/>
        <v>74.903006250000004</v>
      </c>
    </row>
    <row r="48" spans="1:2" x14ac:dyDescent="0.4">
      <c r="A48" s="1">
        <v>0.46</v>
      </c>
      <c r="B48" s="1">
        <f t="shared" si="0"/>
        <v>73.70819856</v>
      </c>
    </row>
    <row r="49" spans="1:2" x14ac:dyDescent="0.4">
      <c r="A49" s="1">
        <v>0.47</v>
      </c>
      <c r="B49" s="1">
        <f t="shared" si="0"/>
        <v>72.526828809999998</v>
      </c>
    </row>
    <row r="50" spans="1:2" x14ac:dyDescent="0.4">
      <c r="A50" s="1">
        <v>0.48</v>
      </c>
      <c r="B50" s="1">
        <f t="shared" si="0"/>
        <v>71.358812159999999</v>
      </c>
    </row>
    <row r="51" spans="1:2" x14ac:dyDescent="0.4">
      <c r="A51" s="1">
        <v>0.49</v>
      </c>
      <c r="B51" s="1">
        <f t="shared" si="0"/>
        <v>70.204064009999996</v>
      </c>
    </row>
    <row r="52" spans="1:2" x14ac:dyDescent="0.4">
      <c r="A52" s="1">
        <v>0.5</v>
      </c>
      <c r="B52" s="1">
        <f t="shared" si="0"/>
        <v>69.0625</v>
      </c>
    </row>
    <row r="53" spans="1:2" x14ac:dyDescent="0.4">
      <c r="A53" s="1">
        <v>0.51</v>
      </c>
      <c r="B53" s="1">
        <f t="shared" si="0"/>
        <v>67.93403601</v>
      </c>
    </row>
    <row r="54" spans="1:2" x14ac:dyDescent="0.4">
      <c r="A54" s="1">
        <v>0.52</v>
      </c>
      <c r="B54" s="1">
        <f t="shared" si="0"/>
        <v>66.818588160000004</v>
      </c>
    </row>
    <row r="55" spans="1:2" x14ac:dyDescent="0.4">
      <c r="A55" s="1">
        <v>0.53</v>
      </c>
      <c r="B55" s="1">
        <f t="shared" si="0"/>
        <v>65.71607281</v>
      </c>
    </row>
    <row r="56" spans="1:2" x14ac:dyDescent="0.4">
      <c r="A56" s="1">
        <v>0.54</v>
      </c>
      <c r="B56" s="1">
        <f t="shared" si="0"/>
        <v>64.626406559999992</v>
      </c>
    </row>
    <row r="57" spans="1:2" x14ac:dyDescent="0.4">
      <c r="A57" s="1">
        <v>0.55000000000000004</v>
      </c>
      <c r="B57" s="1">
        <f t="shared" si="0"/>
        <v>63.549506249999993</v>
      </c>
    </row>
    <row r="58" spans="1:2" x14ac:dyDescent="0.4">
      <c r="A58" s="1">
        <v>0.56000000000000005</v>
      </c>
      <c r="B58" s="1">
        <f t="shared" si="0"/>
        <v>62.485288959999991</v>
      </c>
    </row>
    <row r="59" spans="1:2" x14ac:dyDescent="0.4">
      <c r="A59" s="1">
        <v>0.56999999999999995</v>
      </c>
      <c r="B59" s="1">
        <f t="shared" si="0"/>
        <v>61.433672010000009</v>
      </c>
    </row>
    <row r="60" spans="1:2" x14ac:dyDescent="0.4">
      <c r="A60" s="1">
        <v>0.57999999999999996</v>
      </c>
      <c r="B60" s="1">
        <f t="shared" si="0"/>
        <v>60.394572960000005</v>
      </c>
    </row>
    <row r="61" spans="1:2" x14ac:dyDescent="0.4">
      <c r="A61" s="1">
        <v>0.59</v>
      </c>
      <c r="B61" s="1">
        <f t="shared" si="0"/>
        <v>59.367909609999998</v>
      </c>
    </row>
    <row r="62" spans="1:2" x14ac:dyDescent="0.4">
      <c r="A62" s="1">
        <v>0.6</v>
      </c>
      <c r="B62" s="1">
        <f t="shared" si="0"/>
        <v>58.3536</v>
      </c>
    </row>
    <row r="63" spans="1:2" x14ac:dyDescent="0.4">
      <c r="A63" s="1">
        <v>0.61</v>
      </c>
      <c r="B63" s="1">
        <f t="shared" si="0"/>
        <v>57.351562410000014</v>
      </c>
    </row>
    <row r="64" spans="1:2" x14ac:dyDescent="0.4">
      <c r="A64" s="1">
        <v>0.62</v>
      </c>
      <c r="B64" s="1">
        <f t="shared" si="0"/>
        <v>56.361715360000005</v>
      </c>
    </row>
    <row r="65" spans="1:2" x14ac:dyDescent="0.4">
      <c r="A65" s="1">
        <v>0.63</v>
      </c>
      <c r="B65" s="1">
        <f t="shared" si="0"/>
        <v>55.383977609999988</v>
      </c>
    </row>
    <row r="66" spans="1:2" x14ac:dyDescent="0.4">
      <c r="A66" s="1">
        <v>0.64</v>
      </c>
      <c r="B66" s="1">
        <f t="shared" si="0"/>
        <v>54.418268159999997</v>
      </c>
    </row>
    <row r="67" spans="1:2" x14ac:dyDescent="0.4">
      <c r="A67" s="1">
        <v>0.65</v>
      </c>
      <c r="B67" s="1">
        <f t="shared" ref="B67:B130" si="1">A67^4-16*A67^3+88*A67^2-190*A67+144</f>
        <v>53.464506249999999</v>
      </c>
    </row>
    <row r="68" spans="1:2" x14ac:dyDescent="0.4">
      <c r="A68" s="1">
        <v>0.66</v>
      </c>
      <c r="B68" s="1">
        <f t="shared" si="1"/>
        <v>52.522611359999999</v>
      </c>
    </row>
    <row r="69" spans="1:2" x14ac:dyDescent="0.4">
      <c r="A69" s="1">
        <v>0.67</v>
      </c>
      <c r="B69" s="1">
        <f t="shared" si="1"/>
        <v>51.59250320999999</v>
      </c>
    </row>
    <row r="70" spans="1:2" x14ac:dyDescent="0.4">
      <c r="A70" s="1">
        <v>0.68</v>
      </c>
      <c r="B70" s="1">
        <f t="shared" si="1"/>
        <v>50.674101759999985</v>
      </c>
    </row>
    <row r="71" spans="1:2" x14ac:dyDescent="0.4">
      <c r="A71" s="1">
        <v>0.69</v>
      </c>
      <c r="B71" s="1">
        <f t="shared" si="1"/>
        <v>49.767327209999991</v>
      </c>
    </row>
    <row r="72" spans="1:2" x14ac:dyDescent="0.4">
      <c r="A72" s="1">
        <v>0.7</v>
      </c>
      <c r="B72" s="1">
        <f t="shared" si="1"/>
        <v>48.872099999999989</v>
      </c>
    </row>
    <row r="73" spans="1:2" x14ac:dyDescent="0.4">
      <c r="A73" s="1">
        <v>0.71</v>
      </c>
      <c r="B73" s="1">
        <f t="shared" si="1"/>
        <v>47.988340809999983</v>
      </c>
    </row>
    <row r="74" spans="1:2" x14ac:dyDescent="0.4">
      <c r="A74" s="1">
        <v>0.72</v>
      </c>
      <c r="B74" s="1">
        <f t="shared" si="1"/>
        <v>47.115970560000022</v>
      </c>
    </row>
    <row r="75" spans="1:2" x14ac:dyDescent="0.4">
      <c r="A75" s="1">
        <v>0.73</v>
      </c>
      <c r="B75" s="1">
        <f t="shared" si="1"/>
        <v>46.254910410000008</v>
      </c>
    </row>
    <row r="76" spans="1:2" x14ac:dyDescent="0.4">
      <c r="A76" s="1">
        <v>0.74</v>
      </c>
      <c r="B76" s="1">
        <f t="shared" si="1"/>
        <v>45.405081760000002</v>
      </c>
    </row>
    <row r="77" spans="1:2" x14ac:dyDescent="0.4">
      <c r="A77" s="1">
        <v>0.75</v>
      </c>
      <c r="B77" s="1">
        <f t="shared" si="1"/>
        <v>44.56640625</v>
      </c>
    </row>
    <row r="78" spans="1:2" x14ac:dyDescent="0.4">
      <c r="A78" s="1">
        <v>0.76</v>
      </c>
      <c r="B78" s="1">
        <f t="shared" si="1"/>
        <v>43.738805759999991</v>
      </c>
    </row>
    <row r="79" spans="1:2" x14ac:dyDescent="0.4">
      <c r="A79" s="1">
        <v>0.77</v>
      </c>
      <c r="B79" s="1">
        <f t="shared" si="1"/>
        <v>42.922202409999983</v>
      </c>
    </row>
    <row r="80" spans="1:2" x14ac:dyDescent="0.4">
      <c r="A80" s="1">
        <v>0.78</v>
      </c>
      <c r="B80" s="1">
        <f t="shared" si="1"/>
        <v>42.116518559999989</v>
      </c>
    </row>
    <row r="81" spans="1:2" x14ac:dyDescent="0.4">
      <c r="A81" s="1">
        <v>0.79</v>
      </c>
      <c r="B81" s="1">
        <f t="shared" si="1"/>
        <v>41.321676810000014</v>
      </c>
    </row>
    <row r="82" spans="1:2" x14ac:dyDescent="0.4">
      <c r="A82" s="1">
        <v>0.8</v>
      </c>
      <c r="B82" s="1">
        <f t="shared" si="1"/>
        <v>40.537599999999998</v>
      </c>
    </row>
    <row r="83" spans="1:2" x14ac:dyDescent="0.4">
      <c r="A83" s="1">
        <v>0.81</v>
      </c>
      <c r="B83" s="1">
        <f t="shared" si="1"/>
        <v>39.764211209999999</v>
      </c>
    </row>
    <row r="84" spans="1:2" x14ac:dyDescent="0.4">
      <c r="A84" s="1">
        <v>0.82</v>
      </c>
      <c r="B84" s="1">
        <f t="shared" si="1"/>
        <v>39.001433760000012</v>
      </c>
    </row>
    <row r="85" spans="1:2" x14ac:dyDescent="0.4">
      <c r="A85" s="1">
        <v>0.83</v>
      </c>
      <c r="B85" s="1">
        <f t="shared" si="1"/>
        <v>38.249191210000006</v>
      </c>
    </row>
    <row r="86" spans="1:2" x14ac:dyDescent="0.4">
      <c r="A86" s="1">
        <v>0.84</v>
      </c>
      <c r="B86" s="1">
        <f t="shared" si="1"/>
        <v>37.507407360000002</v>
      </c>
    </row>
    <row r="87" spans="1:2" x14ac:dyDescent="0.4">
      <c r="A87" s="1">
        <v>0.85</v>
      </c>
      <c r="B87" s="1">
        <f t="shared" si="1"/>
        <v>36.776006249999995</v>
      </c>
    </row>
    <row r="88" spans="1:2" x14ac:dyDescent="0.4">
      <c r="A88" s="1">
        <v>0.86</v>
      </c>
      <c r="B88" s="1">
        <f t="shared" si="1"/>
        <v>36.054912159999986</v>
      </c>
    </row>
    <row r="89" spans="1:2" x14ac:dyDescent="0.4">
      <c r="A89" s="1">
        <v>0.87</v>
      </c>
      <c r="B89" s="1">
        <f t="shared" si="1"/>
        <v>35.344049609999985</v>
      </c>
    </row>
    <row r="90" spans="1:2" x14ac:dyDescent="0.4">
      <c r="A90" s="1">
        <v>0.88</v>
      </c>
      <c r="B90" s="1">
        <f t="shared" si="1"/>
        <v>34.643343360000017</v>
      </c>
    </row>
    <row r="91" spans="1:2" x14ac:dyDescent="0.4">
      <c r="A91" s="1">
        <v>0.89</v>
      </c>
      <c r="B91" s="1">
        <f t="shared" si="1"/>
        <v>33.952718410000017</v>
      </c>
    </row>
    <row r="92" spans="1:2" x14ac:dyDescent="0.4">
      <c r="A92" s="1">
        <v>0.9</v>
      </c>
      <c r="B92" s="1">
        <f t="shared" si="1"/>
        <v>33.272099999999995</v>
      </c>
    </row>
    <row r="93" spans="1:2" x14ac:dyDescent="0.4">
      <c r="A93" s="1">
        <v>0.91</v>
      </c>
      <c r="B93" s="1">
        <f t="shared" si="1"/>
        <v>32.601413610000009</v>
      </c>
    </row>
    <row r="94" spans="1:2" x14ac:dyDescent="0.4">
      <c r="A94" s="1">
        <v>0.92</v>
      </c>
      <c r="B94" s="1">
        <f t="shared" si="1"/>
        <v>31.940584959999995</v>
      </c>
    </row>
    <row r="95" spans="1:2" x14ac:dyDescent="0.4">
      <c r="A95" s="1">
        <v>0.93</v>
      </c>
      <c r="B95" s="1">
        <f t="shared" si="1"/>
        <v>31.289540009999996</v>
      </c>
    </row>
    <row r="96" spans="1:2" x14ac:dyDescent="0.4">
      <c r="A96" s="1">
        <v>0.94</v>
      </c>
      <c r="B96" s="1">
        <f t="shared" si="1"/>
        <v>30.648204960000001</v>
      </c>
    </row>
    <row r="97" spans="1:2" x14ac:dyDescent="0.4">
      <c r="A97" s="1">
        <v>0.95</v>
      </c>
      <c r="B97" s="1">
        <f t="shared" si="1"/>
        <v>30.016506250000006</v>
      </c>
    </row>
    <row r="98" spans="1:2" x14ac:dyDescent="0.4">
      <c r="A98" s="1">
        <v>0.96</v>
      </c>
      <c r="B98" s="1">
        <f t="shared" si="1"/>
        <v>29.394370559999984</v>
      </c>
    </row>
    <row r="99" spans="1:2" x14ac:dyDescent="0.4">
      <c r="A99" s="1">
        <v>0.97</v>
      </c>
      <c r="B99" s="1">
        <f t="shared" si="1"/>
        <v>28.781724810000014</v>
      </c>
    </row>
    <row r="100" spans="1:2" x14ac:dyDescent="0.4">
      <c r="A100" s="1">
        <v>0.98</v>
      </c>
      <c r="B100" s="1">
        <f t="shared" si="1"/>
        <v>28.178496160000009</v>
      </c>
    </row>
    <row r="101" spans="1:2" x14ac:dyDescent="0.4">
      <c r="A101" s="1">
        <v>0.99</v>
      </c>
      <c r="B101" s="1">
        <f t="shared" si="1"/>
        <v>27.584612010000015</v>
      </c>
    </row>
    <row r="102" spans="1:2" x14ac:dyDescent="0.4">
      <c r="A102" s="1">
        <v>1</v>
      </c>
      <c r="B102" s="1">
        <f t="shared" si="1"/>
        <v>27</v>
      </c>
    </row>
    <row r="103" spans="1:2" x14ac:dyDescent="0.4">
      <c r="A103" s="1">
        <v>1.01</v>
      </c>
      <c r="B103" s="1">
        <f t="shared" si="1"/>
        <v>26.424588009999994</v>
      </c>
    </row>
    <row r="104" spans="1:2" x14ac:dyDescent="0.4">
      <c r="A104" s="1">
        <v>1.02</v>
      </c>
      <c r="B104" s="1">
        <f t="shared" si="1"/>
        <v>25.858304159999989</v>
      </c>
    </row>
    <row r="105" spans="1:2" x14ac:dyDescent="0.4">
      <c r="A105" s="1">
        <v>1.03</v>
      </c>
      <c r="B105" s="1">
        <f t="shared" si="1"/>
        <v>25.301076809999984</v>
      </c>
    </row>
    <row r="106" spans="1:2" x14ac:dyDescent="0.4">
      <c r="A106" s="1">
        <v>1.04</v>
      </c>
      <c r="B106" s="1">
        <f t="shared" si="1"/>
        <v>24.752834560000011</v>
      </c>
    </row>
    <row r="107" spans="1:2" x14ac:dyDescent="0.4">
      <c r="A107" s="1">
        <v>1.05</v>
      </c>
      <c r="B107" s="1">
        <f t="shared" si="1"/>
        <v>24.213506250000009</v>
      </c>
    </row>
    <row r="108" spans="1:2" x14ac:dyDescent="0.4">
      <c r="A108" s="1">
        <v>1.06</v>
      </c>
      <c r="B108" s="1">
        <f t="shared" si="1"/>
        <v>23.683020960000007</v>
      </c>
    </row>
    <row r="109" spans="1:2" x14ac:dyDescent="0.4">
      <c r="A109" s="1">
        <v>1.07</v>
      </c>
      <c r="B109" s="1">
        <f t="shared" si="1"/>
        <v>23.161308009999985</v>
      </c>
    </row>
    <row r="110" spans="1:2" x14ac:dyDescent="0.4">
      <c r="A110" s="1">
        <v>1.08</v>
      </c>
      <c r="B110" s="1">
        <f t="shared" si="1"/>
        <v>22.648296959999982</v>
      </c>
    </row>
    <row r="111" spans="1:2" x14ac:dyDescent="0.4">
      <c r="A111" s="1">
        <v>1.0900000000000001</v>
      </c>
      <c r="B111" s="1">
        <f t="shared" si="1"/>
        <v>22.143917609999988</v>
      </c>
    </row>
    <row r="112" spans="1:2" x14ac:dyDescent="0.4">
      <c r="A112" s="1">
        <v>1.1000000000000001</v>
      </c>
      <c r="B112" s="1">
        <f t="shared" si="1"/>
        <v>21.648099999999985</v>
      </c>
    </row>
    <row r="113" spans="1:2" x14ac:dyDescent="0.4">
      <c r="A113" s="1">
        <v>1.1100000000000001</v>
      </c>
      <c r="B113" s="1">
        <f t="shared" si="1"/>
        <v>21.160774410000016</v>
      </c>
    </row>
    <row r="114" spans="1:2" x14ac:dyDescent="0.4">
      <c r="A114" s="1">
        <v>1.1200000000000001</v>
      </c>
      <c r="B114" s="1">
        <f t="shared" si="1"/>
        <v>20.681871360000002</v>
      </c>
    </row>
    <row r="115" spans="1:2" x14ac:dyDescent="0.4">
      <c r="A115" s="1">
        <v>1.1299999999999999</v>
      </c>
      <c r="B115" s="1">
        <f t="shared" si="1"/>
        <v>20.211321609999985</v>
      </c>
    </row>
    <row r="116" spans="1:2" x14ac:dyDescent="0.4">
      <c r="A116" s="1">
        <v>1.1399999999999999</v>
      </c>
      <c r="B116" s="1">
        <f t="shared" si="1"/>
        <v>19.749056159999995</v>
      </c>
    </row>
    <row r="117" spans="1:2" x14ac:dyDescent="0.4">
      <c r="A117" s="1">
        <v>1.1499999999999999</v>
      </c>
      <c r="B117" s="1">
        <f t="shared" si="1"/>
        <v>19.295006250000014</v>
      </c>
    </row>
    <row r="118" spans="1:2" x14ac:dyDescent="0.4">
      <c r="A118" s="1">
        <v>1.1599999999999999</v>
      </c>
      <c r="B118" s="1">
        <f t="shared" si="1"/>
        <v>18.849103360000015</v>
      </c>
    </row>
    <row r="119" spans="1:2" x14ac:dyDescent="0.4">
      <c r="A119" s="1">
        <v>1.17</v>
      </c>
      <c r="B119" s="1">
        <f t="shared" si="1"/>
        <v>18.411279210000004</v>
      </c>
    </row>
    <row r="120" spans="1:2" x14ac:dyDescent="0.4">
      <c r="A120" s="1">
        <v>1.18</v>
      </c>
      <c r="B120" s="1">
        <f t="shared" si="1"/>
        <v>17.981465759999992</v>
      </c>
    </row>
    <row r="121" spans="1:2" x14ac:dyDescent="0.4">
      <c r="A121" s="1">
        <v>1.19</v>
      </c>
      <c r="B121" s="1">
        <f t="shared" si="1"/>
        <v>17.559595209999998</v>
      </c>
    </row>
    <row r="122" spans="1:2" x14ac:dyDescent="0.4">
      <c r="A122" s="1">
        <v>1.2</v>
      </c>
      <c r="B122" s="1">
        <f t="shared" si="1"/>
        <v>17.145600000000002</v>
      </c>
    </row>
    <row r="123" spans="1:2" x14ac:dyDescent="0.4">
      <c r="A123" s="1">
        <v>1.21</v>
      </c>
      <c r="B123" s="1">
        <f t="shared" si="1"/>
        <v>16.739412810000005</v>
      </c>
    </row>
    <row r="124" spans="1:2" x14ac:dyDescent="0.4">
      <c r="A124" s="1">
        <v>1.22</v>
      </c>
      <c r="B124" s="1">
        <f t="shared" si="1"/>
        <v>16.340966560000012</v>
      </c>
    </row>
    <row r="125" spans="1:2" x14ac:dyDescent="0.4">
      <c r="A125" s="1">
        <v>1.23</v>
      </c>
      <c r="B125" s="1">
        <f t="shared" si="1"/>
        <v>15.950194409999995</v>
      </c>
    </row>
    <row r="126" spans="1:2" x14ac:dyDescent="0.4">
      <c r="A126" s="1">
        <v>1.24</v>
      </c>
      <c r="B126" s="1">
        <f t="shared" si="1"/>
        <v>15.567029760000025</v>
      </c>
    </row>
    <row r="127" spans="1:2" x14ac:dyDescent="0.4">
      <c r="A127" s="1">
        <v>1.25</v>
      </c>
      <c r="B127" s="1">
        <f t="shared" si="1"/>
        <v>15.19140625</v>
      </c>
    </row>
    <row r="128" spans="1:2" x14ac:dyDescent="0.4">
      <c r="A128" s="1">
        <v>1.26</v>
      </c>
      <c r="B128" s="1">
        <f t="shared" si="1"/>
        <v>14.82325775999999</v>
      </c>
    </row>
    <row r="129" spans="1:2" x14ac:dyDescent="0.4">
      <c r="A129" s="1">
        <v>1.27</v>
      </c>
      <c r="B129" s="1">
        <f t="shared" si="1"/>
        <v>14.462518410000001</v>
      </c>
    </row>
    <row r="130" spans="1:2" x14ac:dyDescent="0.4">
      <c r="A130" s="1">
        <v>1.28</v>
      </c>
      <c r="B130" s="1">
        <f t="shared" si="1"/>
        <v>14.109122560000003</v>
      </c>
    </row>
    <row r="131" spans="1:2" x14ac:dyDescent="0.4">
      <c r="A131" s="1">
        <v>1.29</v>
      </c>
      <c r="B131" s="1">
        <f t="shared" ref="B131:B194" si="2">A131^4-16*A131^3+88*A131^2-190*A131+144</f>
        <v>13.763004810000041</v>
      </c>
    </row>
    <row r="132" spans="1:2" x14ac:dyDescent="0.4">
      <c r="A132" s="1">
        <v>1.3</v>
      </c>
      <c r="B132" s="1">
        <f t="shared" si="2"/>
        <v>13.42410000000001</v>
      </c>
    </row>
    <row r="133" spans="1:2" x14ac:dyDescent="0.4">
      <c r="A133" s="1">
        <v>1.31</v>
      </c>
      <c r="B133" s="1">
        <f t="shared" si="2"/>
        <v>13.092343209999996</v>
      </c>
    </row>
    <row r="134" spans="1:2" x14ac:dyDescent="0.4">
      <c r="A134" s="1">
        <v>1.32</v>
      </c>
      <c r="B134" s="1">
        <f t="shared" si="2"/>
        <v>12.767669760000018</v>
      </c>
    </row>
    <row r="135" spans="1:2" x14ac:dyDescent="0.4">
      <c r="A135" s="1">
        <v>1.33</v>
      </c>
      <c r="B135" s="1">
        <f t="shared" si="2"/>
        <v>12.450015210000004</v>
      </c>
    </row>
    <row r="136" spans="1:2" x14ac:dyDescent="0.4">
      <c r="A136" s="1">
        <v>1.34</v>
      </c>
      <c r="B136" s="1">
        <f t="shared" si="2"/>
        <v>12.139315360000012</v>
      </c>
    </row>
    <row r="137" spans="1:2" x14ac:dyDescent="0.4">
      <c r="A137" s="1">
        <v>1.35</v>
      </c>
      <c r="B137" s="1">
        <f t="shared" si="2"/>
        <v>11.835506250000009</v>
      </c>
    </row>
    <row r="138" spans="1:2" x14ac:dyDescent="0.4">
      <c r="A138" s="1">
        <v>1.36</v>
      </c>
      <c r="B138" s="1">
        <f t="shared" si="2"/>
        <v>11.538524160000009</v>
      </c>
    </row>
    <row r="139" spans="1:2" x14ac:dyDescent="0.4">
      <c r="A139" s="1">
        <v>1.37</v>
      </c>
      <c r="B139" s="1">
        <f t="shared" si="2"/>
        <v>11.248305609999989</v>
      </c>
    </row>
    <row r="140" spans="1:2" x14ac:dyDescent="0.4">
      <c r="A140" s="1">
        <v>1.38</v>
      </c>
      <c r="B140" s="1">
        <f t="shared" si="2"/>
        <v>10.964787360000003</v>
      </c>
    </row>
    <row r="141" spans="1:2" x14ac:dyDescent="0.4">
      <c r="A141" s="1">
        <v>1.39</v>
      </c>
      <c r="B141" s="1">
        <f t="shared" si="2"/>
        <v>10.687906410000011</v>
      </c>
    </row>
    <row r="142" spans="1:2" x14ac:dyDescent="0.4">
      <c r="A142" s="1">
        <v>1.4</v>
      </c>
      <c r="B142" s="1">
        <f t="shared" si="2"/>
        <v>10.417599999999993</v>
      </c>
    </row>
    <row r="143" spans="1:2" x14ac:dyDescent="0.4">
      <c r="A143" s="1">
        <v>1.41</v>
      </c>
      <c r="B143" s="1">
        <f t="shared" si="2"/>
        <v>10.153805610000006</v>
      </c>
    </row>
    <row r="144" spans="1:2" x14ac:dyDescent="0.4">
      <c r="A144" s="1">
        <v>1.42</v>
      </c>
      <c r="B144" s="1">
        <f t="shared" si="2"/>
        <v>9.8964609599999847</v>
      </c>
    </row>
    <row r="145" spans="1:2" x14ac:dyDescent="0.4">
      <c r="A145" s="1">
        <v>1.43</v>
      </c>
      <c r="B145" s="1">
        <f t="shared" si="2"/>
        <v>9.6455040099999962</v>
      </c>
    </row>
    <row r="146" spans="1:2" x14ac:dyDescent="0.4">
      <c r="A146" s="1">
        <v>1.44</v>
      </c>
      <c r="B146" s="1">
        <f t="shared" si="2"/>
        <v>9.4008729600000436</v>
      </c>
    </row>
    <row r="147" spans="1:2" x14ac:dyDescent="0.4">
      <c r="A147" s="1">
        <v>1.45</v>
      </c>
      <c r="B147" s="1">
        <f t="shared" si="2"/>
        <v>9.162506250000007</v>
      </c>
    </row>
    <row r="148" spans="1:2" x14ac:dyDescent="0.4">
      <c r="A148" s="1">
        <v>1.46</v>
      </c>
      <c r="B148" s="1">
        <f t="shared" si="2"/>
        <v>8.9303425600000139</v>
      </c>
    </row>
    <row r="149" spans="1:2" x14ac:dyDescent="0.4">
      <c r="A149" s="1">
        <v>1.47</v>
      </c>
      <c r="B149" s="1">
        <f t="shared" si="2"/>
        <v>8.7043208099999845</v>
      </c>
    </row>
    <row r="150" spans="1:2" x14ac:dyDescent="0.4">
      <c r="A150" s="1">
        <v>1.48</v>
      </c>
      <c r="B150" s="1">
        <f t="shared" si="2"/>
        <v>8.4843801600000006</v>
      </c>
    </row>
    <row r="151" spans="1:2" x14ac:dyDescent="0.4">
      <c r="A151" s="1">
        <v>1.49</v>
      </c>
      <c r="B151" s="1">
        <f t="shared" si="2"/>
        <v>8.2704600099999652</v>
      </c>
    </row>
    <row r="152" spans="1:2" x14ac:dyDescent="0.4">
      <c r="A152" s="1">
        <v>1.5</v>
      </c>
      <c r="B152" s="1">
        <f t="shared" si="2"/>
        <v>8.0625</v>
      </c>
    </row>
    <row r="153" spans="1:2" x14ac:dyDescent="0.4">
      <c r="A153" s="1">
        <v>1.51</v>
      </c>
      <c r="B153" s="1">
        <f t="shared" si="2"/>
        <v>7.8604400100000191</v>
      </c>
    </row>
    <row r="154" spans="1:2" x14ac:dyDescent="0.4">
      <c r="A154" s="1">
        <v>1.52</v>
      </c>
      <c r="B154" s="1">
        <f t="shared" si="2"/>
        <v>7.6642201599999851</v>
      </c>
    </row>
    <row r="155" spans="1:2" x14ac:dyDescent="0.4">
      <c r="A155" s="1">
        <v>1.53</v>
      </c>
      <c r="B155" s="1">
        <f t="shared" si="2"/>
        <v>7.4737808099999938</v>
      </c>
    </row>
    <row r="156" spans="1:2" x14ac:dyDescent="0.4">
      <c r="A156" s="1">
        <v>1.54</v>
      </c>
      <c r="B156" s="1">
        <f t="shared" si="2"/>
        <v>7.2890625599999623</v>
      </c>
    </row>
    <row r="157" spans="1:2" x14ac:dyDescent="0.4">
      <c r="A157" s="1">
        <v>1.55</v>
      </c>
      <c r="B157" s="1">
        <f t="shared" si="2"/>
        <v>7.1100062500000263</v>
      </c>
    </row>
    <row r="158" spans="1:2" x14ac:dyDescent="0.4">
      <c r="A158" s="1">
        <v>1.56</v>
      </c>
      <c r="B158" s="1">
        <f t="shared" si="2"/>
        <v>6.9365529600000002</v>
      </c>
    </row>
    <row r="159" spans="1:2" x14ac:dyDescent="0.4">
      <c r="A159" s="1">
        <v>1.57</v>
      </c>
      <c r="B159" s="1">
        <f t="shared" si="2"/>
        <v>6.7686440100000027</v>
      </c>
    </row>
    <row r="160" spans="1:2" x14ac:dyDescent="0.4">
      <c r="A160" s="1">
        <v>1.58</v>
      </c>
      <c r="B160" s="1">
        <f t="shared" si="2"/>
        <v>6.6062209600000301</v>
      </c>
    </row>
    <row r="161" spans="1:2" x14ac:dyDescent="0.4">
      <c r="A161" s="1">
        <v>1.59</v>
      </c>
      <c r="B161" s="1">
        <f t="shared" si="2"/>
        <v>6.449225609999985</v>
      </c>
    </row>
    <row r="162" spans="1:2" x14ac:dyDescent="0.4">
      <c r="A162" s="1">
        <v>1.6</v>
      </c>
      <c r="B162" s="1">
        <f t="shared" si="2"/>
        <v>6.297600000000017</v>
      </c>
    </row>
    <row r="163" spans="1:2" x14ac:dyDescent="0.4">
      <c r="A163" s="1">
        <v>1.61</v>
      </c>
      <c r="B163" s="1">
        <f t="shared" si="2"/>
        <v>6.1512864099999547</v>
      </c>
    </row>
    <row r="164" spans="1:2" x14ac:dyDescent="0.4">
      <c r="A164" s="1">
        <v>1.62</v>
      </c>
      <c r="B164" s="1">
        <f t="shared" si="2"/>
        <v>6.010227360000016</v>
      </c>
    </row>
    <row r="165" spans="1:2" x14ac:dyDescent="0.4">
      <c r="A165" s="1">
        <v>1.63</v>
      </c>
      <c r="B165" s="1">
        <f t="shared" si="2"/>
        <v>5.8743656100000123</v>
      </c>
    </row>
    <row r="166" spans="1:2" x14ac:dyDescent="0.4">
      <c r="A166" s="1">
        <v>1.64</v>
      </c>
      <c r="B166" s="1">
        <f t="shared" si="2"/>
        <v>5.7436441600000308</v>
      </c>
    </row>
    <row r="167" spans="1:2" x14ac:dyDescent="0.4">
      <c r="A167" s="1">
        <v>1.65</v>
      </c>
      <c r="B167" s="1">
        <f t="shared" si="2"/>
        <v>5.6180062500000076</v>
      </c>
    </row>
    <row r="168" spans="1:2" x14ac:dyDescent="0.4">
      <c r="A168" s="1">
        <v>1.66</v>
      </c>
      <c r="B168" s="1">
        <f t="shared" si="2"/>
        <v>5.4973953600000129</v>
      </c>
    </row>
    <row r="169" spans="1:2" x14ac:dyDescent="0.4">
      <c r="A169" s="1">
        <v>1.67</v>
      </c>
      <c r="B169" s="1">
        <f t="shared" si="2"/>
        <v>5.3817552099999943</v>
      </c>
    </row>
    <row r="170" spans="1:2" x14ac:dyDescent="0.4">
      <c r="A170" s="1">
        <v>1.68</v>
      </c>
      <c r="B170" s="1">
        <f t="shared" si="2"/>
        <v>5.2710297599999762</v>
      </c>
    </row>
    <row r="171" spans="1:2" x14ac:dyDescent="0.4">
      <c r="A171" s="1">
        <v>1.69</v>
      </c>
      <c r="B171" s="1">
        <f t="shared" si="2"/>
        <v>5.1651632100000313</v>
      </c>
    </row>
    <row r="172" spans="1:2" x14ac:dyDescent="0.4">
      <c r="A172" s="1">
        <v>1.7</v>
      </c>
      <c r="B172" s="1">
        <f t="shared" si="2"/>
        <v>5.0640999999999678</v>
      </c>
    </row>
    <row r="173" spans="1:2" x14ac:dyDescent="0.4">
      <c r="A173" s="1">
        <v>1.71</v>
      </c>
      <c r="B173" s="1">
        <f t="shared" si="2"/>
        <v>4.9677848100000119</v>
      </c>
    </row>
    <row r="174" spans="1:2" x14ac:dyDescent="0.4">
      <c r="A174" s="1">
        <v>1.72</v>
      </c>
      <c r="B174" s="1">
        <f t="shared" si="2"/>
        <v>4.8761625599999547</v>
      </c>
    </row>
    <row r="175" spans="1:2" x14ac:dyDescent="0.4">
      <c r="A175" s="1">
        <v>1.73</v>
      </c>
      <c r="B175" s="1">
        <f t="shared" si="2"/>
        <v>4.7891784100000052</v>
      </c>
    </row>
    <row r="176" spans="1:2" x14ac:dyDescent="0.4">
      <c r="A176" s="1">
        <v>1.74</v>
      </c>
      <c r="B176" s="1">
        <f t="shared" si="2"/>
        <v>4.7067777599999943</v>
      </c>
    </row>
    <row r="177" spans="1:2" x14ac:dyDescent="0.4">
      <c r="A177" s="1">
        <v>1.75</v>
      </c>
      <c r="B177" s="1">
        <f t="shared" si="2"/>
        <v>4.62890625</v>
      </c>
    </row>
    <row r="178" spans="1:2" x14ac:dyDescent="0.4">
      <c r="A178" s="1">
        <v>1.76</v>
      </c>
      <c r="B178" s="1">
        <f t="shared" si="2"/>
        <v>4.5555097600000067</v>
      </c>
    </row>
    <row r="179" spans="1:2" x14ac:dyDescent="0.4">
      <c r="A179" s="1">
        <v>1.77</v>
      </c>
      <c r="B179" s="1">
        <f t="shared" si="2"/>
        <v>4.4865344099999902</v>
      </c>
    </row>
    <row r="180" spans="1:2" x14ac:dyDescent="0.4">
      <c r="A180" s="1">
        <v>1.78</v>
      </c>
      <c r="B180" s="1">
        <f t="shared" si="2"/>
        <v>4.4219265600000313</v>
      </c>
    </row>
    <row r="181" spans="1:2" x14ac:dyDescent="0.4">
      <c r="A181" s="1">
        <v>1.79</v>
      </c>
      <c r="B181" s="1">
        <f t="shared" si="2"/>
        <v>4.3616328100000032</v>
      </c>
    </row>
    <row r="182" spans="1:2" x14ac:dyDescent="0.4">
      <c r="A182" s="1">
        <v>1.8</v>
      </c>
      <c r="B182" s="1">
        <f t="shared" si="2"/>
        <v>4.3055999999999983</v>
      </c>
    </row>
    <row r="183" spans="1:2" x14ac:dyDescent="0.4">
      <c r="A183" s="1">
        <v>1.81</v>
      </c>
      <c r="B183" s="1">
        <f t="shared" si="2"/>
        <v>4.2537752099999864</v>
      </c>
    </row>
    <row r="184" spans="1:2" x14ac:dyDescent="0.4">
      <c r="A184" s="1">
        <v>1.82</v>
      </c>
      <c r="B184" s="1">
        <f t="shared" si="2"/>
        <v>4.206105760000014</v>
      </c>
    </row>
    <row r="185" spans="1:2" x14ac:dyDescent="0.4">
      <c r="A185" s="1">
        <v>1.83</v>
      </c>
      <c r="B185" s="1">
        <f t="shared" si="2"/>
        <v>4.162539210000034</v>
      </c>
    </row>
    <row r="186" spans="1:2" x14ac:dyDescent="0.4">
      <c r="A186" s="1">
        <v>1.84</v>
      </c>
      <c r="B186" s="1">
        <f t="shared" si="2"/>
        <v>4.123023360000019</v>
      </c>
    </row>
    <row r="187" spans="1:2" x14ac:dyDescent="0.4">
      <c r="A187" s="1">
        <v>1.85</v>
      </c>
      <c r="B187" s="1">
        <f t="shared" si="2"/>
        <v>4.0875062499999899</v>
      </c>
    </row>
    <row r="188" spans="1:2" x14ac:dyDescent="0.4">
      <c r="A188" s="1">
        <v>1.86</v>
      </c>
      <c r="B188" s="1">
        <f t="shared" si="2"/>
        <v>4.0559361599999875</v>
      </c>
    </row>
    <row r="189" spans="1:2" x14ac:dyDescent="0.4">
      <c r="A189" s="1">
        <v>1.87</v>
      </c>
      <c r="B189" s="1">
        <f t="shared" si="2"/>
        <v>4.0282616100000155</v>
      </c>
    </row>
    <row r="190" spans="1:2" x14ac:dyDescent="0.4">
      <c r="A190" s="1">
        <v>1.88</v>
      </c>
      <c r="B190" s="1">
        <f t="shared" si="2"/>
        <v>4.0044313600000123</v>
      </c>
    </row>
    <row r="191" spans="1:2" x14ac:dyDescent="0.4">
      <c r="A191" s="1">
        <v>1.89</v>
      </c>
      <c r="B191" s="1">
        <f t="shared" si="2"/>
        <v>3.9843944099999931</v>
      </c>
    </row>
    <row r="192" spans="1:2" x14ac:dyDescent="0.4">
      <c r="A192" s="1">
        <v>1.9</v>
      </c>
      <c r="B192" s="1">
        <f t="shared" si="2"/>
        <v>3.9681000000000211</v>
      </c>
    </row>
    <row r="193" spans="1:2" x14ac:dyDescent="0.4">
      <c r="A193" s="1">
        <v>1.91</v>
      </c>
      <c r="B193" s="1">
        <f t="shared" si="2"/>
        <v>3.9554976100000374</v>
      </c>
    </row>
    <row r="194" spans="1:2" x14ac:dyDescent="0.4">
      <c r="A194" s="1">
        <v>1.92</v>
      </c>
      <c r="B194" s="1">
        <f t="shared" si="2"/>
        <v>3.9465369599999462</v>
      </c>
    </row>
    <row r="195" spans="1:2" x14ac:dyDescent="0.4">
      <c r="A195" s="1">
        <v>1.93</v>
      </c>
      <c r="B195" s="1">
        <f t="shared" ref="B195:B258" si="3">A195^4-16*A195^3+88*A195^2-190*A195+144</f>
        <v>3.9411680100000126</v>
      </c>
    </row>
    <row r="196" spans="1:2" x14ac:dyDescent="0.4">
      <c r="A196" s="1">
        <v>1.94</v>
      </c>
      <c r="B196" s="1">
        <f t="shared" si="3"/>
        <v>3.9393409600000382</v>
      </c>
    </row>
    <row r="197" spans="1:2" x14ac:dyDescent="0.4">
      <c r="A197" s="1">
        <v>1.95</v>
      </c>
      <c r="B197" s="1">
        <f t="shared" si="3"/>
        <v>3.9410062500000151</v>
      </c>
    </row>
    <row r="198" spans="1:2" x14ac:dyDescent="0.4">
      <c r="A198" s="1">
        <v>1.96</v>
      </c>
      <c r="B198" s="1">
        <f t="shared" si="3"/>
        <v>3.9461145600000123</v>
      </c>
    </row>
    <row r="199" spans="1:2" x14ac:dyDescent="0.4">
      <c r="A199" s="1">
        <v>1.97</v>
      </c>
      <c r="B199" s="1">
        <f t="shared" si="3"/>
        <v>3.9546168100000045</v>
      </c>
    </row>
    <row r="200" spans="1:2" x14ac:dyDescent="0.4">
      <c r="A200" s="1">
        <v>1.98</v>
      </c>
      <c r="B200" s="1">
        <f t="shared" si="3"/>
        <v>3.9664641600000436</v>
      </c>
    </row>
    <row r="201" spans="1:2" x14ac:dyDescent="0.4">
      <c r="A201" s="1">
        <v>1.99</v>
      </c>
      <c r="B201" s="1">
        <f t="shared" si="3"/>
        <v>3.9816080100000022</v>
      </c>
    </row>
    <row r="202" spans="1:2" x14ac:dyDescent="0.4">
      <c r="A202" s="1">
        <v>2</v>
      </c>
      <c r="B202" s="1">
        <f t="shared" si="3"/>
        <v>4</v>
      </c>
    </row>
    <row r="203" spans="1:2" x14ac:dyDescent="0.4">
      <c r="A203" s="1">
        <v>2.0099999999999998</v>
      </c>
      <c r="B203" s="1">
        <f t="shared" si="3"/>
        <v>4.0215920100000062</v>
      </c>
    </row>
    <row r="204" spans="1:2" x14ac:dyDescent="0.4">
      <c r="A204" s="1">
        <v>2.02</v>
      </c>
      <c r="B204" s="1">
        <f t="shared" si="3"/>
        <v>4.0463361600000098</v>
      </c>
    </row>
    <row r="205" spans="1:2" x14ac:dyDescent="0.4">
      <c r="A205" s="1">
        <v>2.0299999999999998</v>
      </c>
      <c r="B205" s="1">
        <f t="shared" si="3"/>
        <v>4.0741848099999629</v>
      </c>
    </row>
    <row r="206" spans="1:2" x14ac:dyDescent="0.4">
      <c r="A206" s="1">
        <v>2.04</v>
      </c>
      <c r="B206" s="1">
        <f t="shared" si="3"/>
        <v>4.1050905599999794</v>
      </c>
    </row>
    <row r="207" spans="1:2" x14ac:dyDescent="0.4">
      <c r="A207" s="1">
        <v>2.0499999999999998</v>
      </c>
      <c r="B207" s="1">
        <f t="shared" si="3"/>
        <v>4.1390062500000795</v>
      </c>
    </row>
    <row r="208" spans="1:2" x14ac:dyDescent="0.4">
      <c r="A208" s="1">
        <v>2.06</v>
      </c>
      <c r="B208" s="1">
        <f t="shared" si="3"/>
        <v>4.1758849599999621</v>
      </c>
    </row>
    <row r="209" spans="1:2" x14ac:dyDescent="0.4">
      <c r="A209" s="1">
        <v>2.0699999999999998</v>
      </c>
      <c r="B209" s="1">
        <f t="shared" si="3"/>
        <v>4.2156800100000567</v>
      </c>
    </row>
    <row r="210" spans="1:2" x14ac:dyDescent="0.4">
      <c r="A210" s="1">
        <v>2.08</v>
      </c>
      <c r="B210" s="1">
        <f t="shared" si="3"/>
        <v>4.2583449600000165</v>
      </c>
    </row>
    <row r="211" spans="1:2" x14ac:dyDescent="0.4">
      <c r="A211" s="1">
        <v>2.09</v>
      </c>
      <c r="B211" s="1">
        <f t="shared" si="3"/>
        <v>4.3038336099999697</v>
      </c>
    </row>
    <row r="212" spans="1:2" x14ac:dyDescent="0.4">
      <c r="A212" s="1">
        <v>2.1</v>
      </c>
      <c r="B212" s="1">
        <f t="shared" si="3"/>
        <v>4.352100000000064</v>
      </c>
    </row>
    <row r="213" spans="1:2" x14ac:dyDescent="0.4">
      <c r="A213" s="1">
        <v>2.11</v>
      </c>
      <c r="B213" s="1">
        <f t="shared" si="3"/>
        <v>4.4030984099999841</v>
      </c>
    </row>
    <row r="214" spans="1:2" x14ac:dyDescent="0.4">
      <c r="A214" s="1">
        <v>2.12</v>
      </c>
      <c r="B214" s="1">
        <f t="shared" si="3"/>
        <v>4.4567833600000313</v>
      </c>
    </row>
    <row r="215" spans="1:2" x14ac:dyDescent="0.4">
      <c r="A215" s="1">
        <v>2.13</v>
      </c>
      <c r="B215" s="1">
        <f t="shared" si="3"/>
        <v>4.5131096099999581</v>
      </c>
    </row>
    <row r="216" spans="1:2" x14ac:dyDescent="0.4">
      <c r="A216" s="1">
        <v>2.14</v>
      </c>
      <c r="B216" s="1">
        <f t="shared" si="3"/>
        <v>4.5720321599999352</v>
      </c>
    </row>
    <row r="217" spans="1:2" x14ac:dyDescent="0.4">
      <c r="A217" s="1">
        <v>2.15</v>
      </c>
      <c r="B217" s="1">
        <f t="shared" si="3"/>
        <v>4.6335062499999822</v>
      </c>
    </row>
    <row r="218" spans="1:2" x14ac:dyDescent="0.4">
      <c r="A218" s="1">
        <v>2.16</v>
      </c>
      <c r="B218" s="1">
        <f t="shared" si="3"/>
        <v>4.6974873599999682</v>
      </c>
    </row>
    <row r="219" spans="1:2" x14ac:dyDescent="0.4">
      <c r="A219" s="1">
        <v>2.17</v>
      </c>
      <c r="B219" s="1">
        <f t="shared" si="3"/>
        <v>4.7639312099999529</v>
      </c>
    </row>
    <row r="220" spans="1:2" x14ac:dyDescent="0.4">
      <c r="A220" s="1">
        <v>2.1800000000000002</v>
      </c>
      <c r="B220" s="1">
        <f t="shared" si="3"/>
        <v>4.8327937600000155</v>
      </c>
    </row>
    <row r="221" spans="1:2" x14ac:dyDescent="0.4">
      <c r="A221" s="1">
        <v>2.19</v>
      </c>
      <c r="B221" s="1">
        <f t="shared" si="3"/>
        <v>4.9040312100000278</v>
      </c>
    </row>
    <row r="222" spans="1:2" x14ac:dyDescent="0.4">
      <c r="A222" s="1">
        <v>2.2000000000000002</v>
      </c>
      <c r="B222" s="1">
        <f t="shared" si="3"/>
        <v>4.9775999999999954</v>
      </c>
    </row>
    <row r="223" spans="1:2" x14ac:dyDescent="0.4">
      <c r="A223" s="1">
        <v>2.21</v>
      </c>
      <c r="B223" s="1">
        <f t="shared" si="3"/>
        <v>5.0534568100000001</v>
      </c>
    </row>
    <row r="224" spans="1:2" x14ac:dyDescent="0.4">
      <c r="A224" s="1">
        <v>2.2200000000000002</v>
      </c>
      <c r="B224" s="1">
        <f t="shared" si="3"/>
        <v>5.1315585600000304</v>
      </c>
    </row>
    <row r="225" spans="1:2" x14ac:dyDescent="0.4">
      <c r="A225" s="1">
        <v>2.23</v>
      </c>
      <c r="B225" s="1">
        <f t="shared" si="3"/>
        <v>5.2118624100000375</v>
      </c>
    </row>
    <row r="226" spans="1:2" x14ac:dyDescent="0.4">
      <c r="A226" s="1">
        <v>2.2400000000000002</v>
      </c>
      <c r="B226" s="1">
        <f t="shared" si="3"/>
        <v>5.2943257599999924</v>
      </c>
    </row>
    <row r="227" spans="1:2" x14ac:dyDescent="0.4">
      <c r="A227" s="1">
        <v>2.25</v>
      </c>
      <c r="B227" s="1">
        <f t="shared" si="3"/>
        <v>5.37890625</v>
      </c>
    </row>
    <row r="228" spans="1:2" x14ac:dyDescent="0.4">
      <c r="A228" s="1">
        <v>2.2599999999999998</v>
      </c>
      <c r="B228" s="1">
        <f t="shared" si="3"/>
        <v>5.4655617599999573</v>
      </c>
    </row>
    <row r="229" spans="1:2" x14ac:dyDescent="0.4">
      <c r="A229" s="1">
        <v>2.27</v>
      </c>
      <c r="B229" s="1">
        <f t="shared" si="3"/>
        <v>5.5542504099999519</v>
      </c>
    </row>
    <row r="230" spans="1:2" x14ac:dyDescent="0.4">
      <c r="A230" s="1">
        <v>2.2799999999999998</v>
      </c>
      <c r="B230" s="1">
        <f t="shared" si="3"/>
        <v>5.6449305599999775</v>
      </c>
    </row>
    <row r="231" spans="1:2" x14ac:dyDescent="0.4">
      <c r="A231" s="1">
        <v>2.29</v>
      </c>
      <c r="B231" s="1">
        <f t="shared" si="3"/>
        <v>5.7375608099999909</v>
      </c>
    </row>
    <row r="232" spans="1:2" x14ac:dyDescent="0.4">
      <c r="A232" s="1">
        <v>2.2999999999999998</v>
      </c>
      <c r="B232" s="1">
        <f t="shared" si="3"/>
        <v>5.8321000000000254</v>
      </c>
    </row>
    <row r="233" spans="1:2" x14ac:dyDescent="0.4">
      <c r="A233" s="1">
        <v>2.31</v>
      </c>
      <c r="B233" s="1">
        <f t="shared" si="3"/>
        <v>5.9285072099999638</v>
      </c>
    </row>
    <row r="234" spans="1:2" x14ac:dyDescent="0.4">
      <c r="A234" s="1">
        <v>2.3199999999999998</v>
      </c>
      <c r="B234" s="1">
        <f t="shared" si="3"/>
        <v>6.0267417600000499</v>
      </c>
    </row>
    <row r="235" spans="1:2" x14ac:dyDescent="0.4">
      <c r="A235" s="1">
        <v>2.33</v>
      </c>
      <c r="B235" s="1">
        <f t="shared" si="3"/>
        <v>6.1267632100000924</v>
      </c>
    </row>
    <row r="236" spans="1:2" x14ac:dyDescent="0.4">
      <c r="A236" s="1">
        <v>2.34</v>
      </c>
      <c r="B236" s="1">
        <f t="shared" si="3"/>
        <v>6.2285313599999768</v>
      </c>
    </row>
    <row r="237" spans="1:2" x14ac:dyDescent="0.4">
      <c r="A237" s="1">
        <v>2.35</v>
      </c>
      <c r="B237" s="1">
        <f t="shared" si="3"/>
        <v>6.3320062500000631</v>
      </c>
    </row>
    <row r="238" spans="1:2" x14ac:dyDescent="0.4">
      <c r="A238" s="1">
        <v>2.36</v>
      </c>
      <c r="B238" s="1">
        <f t="shared" si="3"/>
        <v>6.4371481599999925</v>
      </c>
    </row>
    <row r="239" spans="1:2" x14ac:dyDescent="0.4">
      <c r="A239" s="1">
        <v>2.37</v>
      </c>
      <c r="B239" s="1">
        <f t="shared" si="3"/>
        <v>6.5439176100000509</v>
      </c>
    </row>
    <row r="240" spans="1:2" x14ac:dyDescent="0.4">
      <c r="A240" s="1">
        <v>2.38</v>
      </c>
      <c r="B240" s="1">
        <f t="shared" si="3"/>
        <v>6.6522753600000328</v>
      </c>
    </row>
    <row r="241" spans="1:2" x14ac:dyDescent="0.4">
      <c r="A241" s="1">
        <v>2.39</v>
      </c>
      <c r="B241" s="1">
        <f t="shared" si="3"/>
        <v>6.7621824099999799</v>
      </c>
    </row>
    <row r="242" spans="1:2" x14ac:dyDescent="0.4">
      <c r="A242" s="1">
        <v>2.4</v>
      </c>
      <c r="B242" s="1">
        <f t="shared" si="3"/>
        <v>6.8736000000000104</v>
      </c>
    </row>
    <row r="243" spans="1:2" x14ac:dyDescent="0.4">
      <c r="A243" s="1">
        <v>2.41</v>
      </c>
      <c r="B243" s="1">
        <f t="shared" si="3"/>
        <v>6.9864896099999783</v>
      </c>
    </row>
    <row r="244" spans="1:2" x14ac:dyDescent="0.4">
      <c r="A244" s="1">
        <v>2.42</v>
      </c>
      <c r="B244" s="1">
        <f t="shared" si="3"/>
        <v>7.1008129599999847</v>
      </c>
    </row>
    <row r="245" spans="1:2" x14ac:dyDescent="0.4">
      <c r="A245" s="1">
        <v>2.4300000000000002</v>
      </c>
      <c r="B245" s="1">
        <f t="shared" si="3"/>
        <v>7.2165320099999235</v>
      </c>
    </row>
    <row r="246" spans="1:2" x14ac:dyDescent="0.4">
      <c r="A246" s="1">
        <v>2.44</v>
      </c>
      <c r="B246" s="1">
        <f t="shared" si="3"/>
        <v>7.3336089599999923</v>
      </c>
    </row>
    <row r="247" spans="1:2" x14ac:dyDescent="0.4">
      <c r="A247" s="1">
        <v>2.4500000000000002</v>
      </c>
      <c r="B247" s="1">
        <f t="shared" si="3"/>
        <v>7.4520062500000108</v>
      </c>
    </row>
    <row r="248" spans="1:2" x14ac:dyDescent="0.4">
      <c r="A248" s="1">
        <v>2.46</v>
      </c>
      <c r="B248" s="1">
        <f t="shared" si="3"/>
        <v>7.571686560000046</v>
      </c>
    </row>
    <row r="249" spans="1:2" x14ac:dyDescent="0.4">
      <c r="A249" s="1">
        <v>2.4700000000000002</v>
      </c>
      <c r="B249" s="1">
        <f t="shared" si="3"/>
        <v>7.6926128100000142</v>
      </c>
    </row>
    <row r="250" spans="1:2" x14ac:dyDescent="0.4">
      <c r="A250" s="1">
        <v>2.48</v>
      </c>
      <c r="B250" s="1">
        <f t="shared" si="3"/>
        <v>7.8147481600000788</v>
      </c>
    </row>
    <row r="251" spans="1:2" x14ac:dyDescent="0.4">
      <c r="A251" s="1">
        <v>2.4900000000000002</v>
      </c>
      <c r="B251" s="1">
        <f t="shared" si="3"/>
        <v>7.9380560100000253</v>
      </c>
    </row>
    <row r="252" spans="1:2" x14ac:dyDescent="0.4">
      <c r="A252" s="1">
        <v>2.5</v>
      </c>
      <c r="B252" s="1">
        <f t="shared" si="3"/>
        <v>8.0625</v>
      </c>
    </row>
    <row r="253" spans="1:2" x14ac:dyDescent="0.4">
      <c r="A253" s="1">
        <v>2.5099999999999998</v>
      </c>
      <c r="B253" s="1">
        <f t="shared" si="3"/>
        <v>8.1880440099999987</v>
      </c>
    </row>
    <row r="254" spans="1:2" x14ac:dyDescent="0.4">
      <c r="A254" s="1">
        <v>2.52</v>
      </c>
      <c r="B254" s="1">
        <f t="shared" si="3"/>
        <v>8.3146521599999801</v>
      </c>
    </row>
    <row r="255" spans="1:2" x14ac:dyDescent="0.4">
      <c r="A255" s="1">
        <v>2.5299999999999998</v>
      </c>
      <c r="B255" s="1">
        <f t="shared" si="3"/>
        <v>8.4422888099999795</v>
      </c>
    </row>
    <row r="256" spans="1:2" x14ac:dyDescent="0.4">
      <c r="A256" s="1">
        <v>2.54</v>
      </c>
      <c r="B256" s="1">
        <f t="shared" si="3"/>
        <v>8.5709185599999955</v>
      </c>
    </row>
    <row r="257" spans="1:2" x14ac:dyDescent="0.4">
      <c r="A257" s="1">
        <v>2.5499999999999998</v>
      </c>
      <c r="B257" s="1">
        <f t="shared" si="3"/>
        <v>8.7005062499999894</v>
      </c>
    </row>
    <row r="258" spans="1:2" x14ac:dyDescent="0.4">
      <c r="A258" s="1">
        <v>2.56</v>
      </c>
      <c r="B258" s="1">
        <f t="shared" si="3"/>
        <v>8.8310169599999426</v>
      </c>
    </row>
    <row r="259" spans="1:2" x14ac:dyDescent="0.4">
      <c r="A259" s="1">
        <v>2.57</v>
      </c>
      <c r="B259" s="1">
        <f t="shared" ref="B259:B322" si="4">A259^4-16*A259^3+88*A259^2-190*A259+144</f>
        <v>8.9624160100000836</v>
      </c>
    </row>
    <row r="260" spans="1:2" x14ac:dyDescent="0.4">
      <c r="A260" s="1">
        <v>2.58</v>
      </c>
      <c r="B260" s="1">
        <f t="shared" si="4"/>
        <v>9.0946689600000923</v>
      </c>
    </row>
    <row r="261" spans="1:2" x14ac:dyDescent="0.4">
      <c r="A261" s="1">
        <v>2.59</v>
      </c>
      <c r="B261" s="1">
        <f t="shared" si="4"/>
        <v>9.2277416100000096</v>
      </c>
    </row>
    <row r="262" spans="1:2" x14ac:dyDescent="0.4">
      <c r="A262" s="1">
        <v>2.6</v>
      </c>
      <c r="B262" s="1">
        <f t="shared" si="4"/>
        <v>9.3616000000000668</v>
      </c>
    </row>
    <row r="263" spans="1:2" x14ac:dyDescent="0.4">
      <c r="A263" s="1">
        <v>2.61</v>
      </c>
      <c r="B263" s="1">
        <f t="shared" si="4"/>
        <v>9.4962104100000033</v>
      </c>
    </row>
    <row r="264" spans="1:2" x14ac:dyDescent="0.4">
      <c r="A264" s="1">
        <v>2.62</v>
      </c>
      <c r="B264" s="1">
        <f t="shared" si="4"/>
        <v>9.6315393599999766</v>
      </c>
    </row>
    <row r="265" spans="1:2" x14ac:dyDescent="0.4">
      <c r="A265" s="1">
        <v>2.63</v>
      </c>
      <c r="B265" s="1">
        <f t="shared" si="4"/>
        <v>9.7675536099999931</v>
      </c>
    </row>
    <row r="266" spans="1:2" x14ac:dyDescent="0.4">
      <c r="A266" s="1">
        <v>2.64</v>
      </c>
      <c r="B266" s="1">
        <f t="shared" si="4"/>
        <v>9.9042201600000226</v>
      </c>
    </row>
    <row r="267" spans="1:2" x14ac:dyDescent="0.4">
      <c r="A267" s="1">
        <v>2.65</v>
      </c>
      <c r="B267" s="1">
        <f t="shared" si="4"/>
        <v>10.041506250000054</v>
      </c>
    </row>
    <row r="268" spans="1:2" x14ac:dyDescent="0.4">
      <c r="A268" s="1">
        <v>2.66</v>
      </c>
      <c r="B268" s="1">
        <f t="shared" si="4"/>
        <v>10.179379360000041</v>
      </c>
    </row>
    <row r="269" spans="1:2" x14ac:dyDescent="0.4">
      <c r="A269" s="1">
        <v>2.67</v>
      </c>
      <c r="B269" s="1">
        <f t="shared" si="4"/>
        <v>10.317807210000012</v>
      </c>
    </row>
    <row r="270" spans="1:2" x14ac:dyDescent="0.4">
      <c r="A270" s="1">
        <v>2.68</v>
      </c>
      <c r="B270" s="1">
        <f t="shared" si="4"/>
        <v>10.456757760000016</v>
      </c>
    </row>
    <row r="271" spans="1:2" x14ac:dyDescent="0.4">
      <c r="A271" s="1">
        <v>2.69</v>
      </c>
      <c r="B271" s="1">
        <f t="shared" si="4"/>
        <v>10.596199210000066</v>
      </c>
    </row>
    <row r="272" spans="1:2" x14ac:dyDescent="0.4">
      <c r="A272" s="1">
        <v>2.7</v>
      </c>
      <c r="B272" s="1">
        <f t="shared" si="4"/>
        <v>10.736100000000079</v>
      </c>
    </row>
    <row r="273" spans="1:2" x14ac:dyDescent="0.4">
      <c r="A273" s="1">
        <v>2.71</v>
      </c>
      <c r="B273" s="1">
        <f t="shared" si="4"/>
        <v>10.876428809999993</v>
      </c>
    </row>
    <row r="274" spans="1:2" x14ac:dyDescent="0.4">
      <c r="A274" s="1">
        <v>2.72</v>
      </c>
      <c r="B274" s="1">
        <f t="shared" si="4"/>
        <v>11.017154559999994</v>
      </c>
    </row>
    <row r="275" spans="1:2" x14ac:dyDescent="0.4">
      <c r="A275" s="1">
        <v>2.73</v>
      </c>
      <c r="B275" s="1">
        <f t="shared" si="4"/>
        <v>11.158246409999947</v>
      </c>
    </row>
    <row r="276" spans="1:2" x14ac:dyDescent="0.4">
      <c r="A276" s="1">
        <v>2.74</v>
      </c>
      <c r="B276" s="1">
        <f t="shared" si="4"/>
        <v>11.299673759999962</v>
      </c>
    </row>
    <row r="277" spans="1:2" x14ac:dyDescent="0.4">
      <c r="A277" s="1">
        <v>2.75</v>
      </c>
      <c r="B277" s="1">
        <f t="shared" si="4"/>
        <v>11.44140625</v>
      </c>
    </row>
    <row r="278" spans="1:2" x14ac:dyDescent="0.4">
      <c r="A278" s="1">
        <v>2.76</v>
      </c>
      <c r="B278" s="1">
        <f t="shared" si="4"/>
        <v>11.583413759999928</v>
      </c>
    </row>
    <row r="279" spans="1:2" x14ac:dyDescent="0.4">
      <c r="A279" s="1">
        <v>2.77</v>
      </c>
      <c r="B279" s="1">
        <f t="shared" si="4"/>
        <v>11.725666410000031</v>
      </c>
    </row>
    <row r="280" spans="1:2" x14ac:dyDescent="0.4">
      <c r="A280" s="1">
        <v>2.78</v>
      </c>
      <c r="B280" s="1">
        <f t="shared" si="4"/>
        <v>11.868134559999987</v>
      </c>
    </row>
    <row r="281" spans="1:2" x14ac:dyDescent="0.4">
      <c r="A281" s="1">
        <v>2.79</v>
      </c>
      <c r="B281" s="1">
        <f t="shared" si="4"/>
        <v>12.010788810000008</v>
      </c>
    </row>
    <row r="282" spans="1:2" x14ac:dyDescent="0.4">
      <c r="A282" s="1">
        <v>2.8</v>
      </c>
      <c r="B282" s="1">
        <f t="shared" si="4"/>
        <v>12.15360000000004</v>
      </c>
    </row>
    <row r="283" spans="1:2" x14ac:dyDescent="0.4">
      <c r="A283" s="1">
        <v>2.81</v>
      </c>
      <c r="B283" s="1">
        <f t="shared" si="4"/>
        <v>12.296539209999992</v>
      </c>
    </row>
    <row r="284" spans="1:2" x14ac:dyDescent="0.4">
      <c r="A284" s="1">
        <v>2.82</v>
      </c>
      <c r="B284" s="1">
        <f t="shared" si="4"/>
        <v>12.43957776000002</v>
      </c>
    </row>
    <row r="285" spans="1:2" x14ac:dyDescent="0.4">
      <c r="A285" s="1">
        <v>2.83</v>
      </c>
      <c r="B285" s="1">
        <f t="shared" si="4"/>
        <v>12.582687210000017</v>
      </c>
    </row>
    <row r="286" spans="1:2" x14ac:dyDescent="0.4">
      <c r="A286" s="1">
        <v>2.84</v>
      </c>
      <c r="B286" s="1">
        <f t="shared" si="4"/>
        <v>12.725839359999952</v>
      </c>
    </row>
    <row r="287" spans="1:2" x14ac:dyDescent="0.4">
      <c r="A287" s="1">
        <v>2.85</v>
      </c>
      <c r="B287" s="1">
        <f t="shared" si="4"/>
        <v>12.869006250000098</v>
      </c>
    </row>
    <row r="288" spans="1:2" x14ac:dyDescent="0.4">
      <c r="A288" s="1">
        <v>2.86</v>
      </c>
      <c r="B288" s="1">
        <f t="shared" si="4"/>
        <v>13.012160159999951</v>
      </c>
    </row>
    <row r="289" spans="1:2" x14ac:dyDescent="0.4">
      <c r="A289" s="1">
        <v>2.87</v>
      </c>
      <c r="B289" s="1">
        <f t="shared" si="4"/>
        <v>13.155273609999995</v>
      </c>
    </row>
    <row r="290" spans="1:2" x14ac:dyDescent="0.4">
      <c r="A290" s="1">
        <v>2.88</v>
      </c>
      <c r="B290" s="1">
        <f t="shared" si="4"/>
        <v>13.29831936000005</v>
      </c>
    </row>
    <row r="291" spans="1:2" x14ac:dyDescent="0.4">
      <c r="A291" s="1">
        <v>2.89</v>
      </c>
      <c r="B291" s="1">
        <f t="shared" si="4"/>
        <v>13.441270409999902</v>
      </c>
    </row>
    <row r="292" spans="1:2" x14ac:dyDescent="0.4">
      <c r="A292" s="1">
        <v>2.9</v>
      </c>
      <c r="B292" s="1">
        <f t="shared" si="4"/>
        <v>13.584100000000035</v>
      </c>
    </row>
    <row r="293" spans="1:2" x14ac:dyDescent="0.4">
      <c r="A293" s="1">
        <v>2.91</v>
      </c>
      <c r="B293" s="1">
        <f t="shared" si="4"/>
        <v>13.726781610000103</v>
      </c>
    </row>
    <row r="294" spans="1:2" x14ac:dyDescent="0.4">
      <c r="A294" s="1">
        <v>2.92</v>
      </c>
      <c r="B294" s="1">
        <f t="shared" si="4"/>
        <v>13.869288960000006</v>
      </c>
    </row>
    <row r="295" spans="1:2" x14ac:dyDescent="0.4">
      <c r="A295" s="1">
        <v>2.93</v>
      </c>
      <c r="B295" s="1">
        <f t="shared" si="4"/>
        <v>14.011596009999948</v>
      </c>
    </row>
    <row r="296" spans="1:2" x14ac:dyDescent="0.4">
      <c r="A296" s="1">
        <v>2.94</v>
      </c>
      <c r="B296" s="1">
        <f t="shared" si="4"/>
        <v>14.153676959999984</v>
      </c>
    </row>
    <row r="297" spans="1:2" x14ac:dyDescent="0.4">
      <c r="A297" s="1">
        <v>2.95</v>
      </c>
      <c r="B297" s="1">
        <f t="shared" si="4"/>
        <v>14.295506250000017</v>
      </c>
    </row>
    <row r="298" spans="1:2" x14ac:dyDescent="0.4">
      <c r="A298" s="1">
        <v>2.96</v>
      </c>
      <c r="B298" s="1">
        <f t="shared" si="4"/>
        <v>14.437058560000082</v>
      </c>
    </row>
    <row r="299" spans="1:2" x14ac:dyDescent="0.4">
      <c r="A299" s="1">
        <v>2.97</v>
      </c>
      <c r="B299" s="1">
        <f t="shared" si="4"/>
        <v>14.578308810000067</v>
      </c>
    </row>
    <row r="300" spans="1:2" x14ac:dyDescent="0.4">
      <c r="A300" s="1">
        <v>2.98</v>
      </c>
      <c r="B300" s="1">
        <f t="shared" si="4"/>
        <v>14.719232159999933</v>
      </c>
    </row>
    <row r="301" spans="1:2" x14ac:dyDescent="0.4">
      <c r="A301" s="1">
        <v>2.99</v>
      </c>
      <c r="B301" s="1">
        <f t="shared" si="4"/>
        <v>14.859804010000005</v>
      </c>
    </row>
    <row r="302" spans="1:2" x14ac:dyDescent="0.4">
      <c r="A302" s="1">
        <v>3</v>
      </c>
      <c r="B302" s="1">
        <f t="shared" si="4"/>
        <v>15</v>
      </c>
    </row>
    <row r="303" spans="1:2" x14ac:dyDescent="0.4">
      <c r="A303" s="1">
        <v>3.01</v>
      </c>
      <c r="B303" s="1">
        <f t="shared" si="4"/>
        <v>15.139796009999884</v>
      </c>
    </row>
    <row r="304" spans="1:2" x14ac:dyDescent="0.4">
      <c r="A304" s="1">
        <v>3.02</v>
      </c>
      <c r="B304" s="1">
        <f t="shared" si="4"/>
        <v>15.27916816000004</v>
      </c>
    </row>
    <row r="305" spans="1:2" x14ac:dyDescent="0.4">
      <c r="A305" s="1">
        <v>3.03</v>
      </c>
      <c r="B305" s="1">
        <f t="shared" si="4"/>
        <v>15.418092810000019</v>
      </c>
    </row>
    <row r="306" spans="1:2" x14ac:dyDescent="0.4">
      <c r="A306" s="1">
        <v>3.04</v>
      </c>
      <c r="B306" s="1">
        <f t="shared" si="4"/>
        <v>15.556546559999958</v>
      </c>
    </row>
    <row r="307" spans="1:2" x14ac:dyDescent="0.4">
      <c r="A307" s="1">
        <v>3.05</v>
      </c>
      <c r="B307" s="1">
        <f t="shared" si="4"/>
        <v>15.694506250000018</v>
      </c>
    </row>
    <row r="308" spans="1:2" x14ac:dyDescent="0.4">
      <c r="A308" s="1">
        <v>3.06</v>
      </c>
      <c r="B308" s="1">
        <f t="shared" si="4"/>
        <v>15.831948959999977</v>
      </c>
    </row>
    <row r="309" spans="1:2" x14ac:dyDescent="0.4">
      <c r="A309" s="1">
        <v>3.07</v>
      </c>
      <c r="B309" s="1">
        <f t="shared" si="4"/>
        <v>15.968852010000035</v>
      </c>
    </row>
    <row r="310" spans="1:2" x14ac:dyDescent="0.4">
      <c r="A310" s="1">
        <v>3.08</v>
      </c>
      <c r="B310" s="1">
        <f t="shared" si="4"/>
        <v>16.10519295999984</v>
      </c>
    </row>
    <row r="311" spans="1:2" x14ac:dyDescent="0.4">
      <c r="A311" s="1">
        <v>3.09</v>
      </c>
      <c r="B311" s="1">
        <f t="shared" si="4"/>
        <v>16.24094961000003</v>
      </c>
    </row>
    <row r="312" spans="1:2" x14ac:dyDescent="0.4">
      <c r="A312" s="1">
        <v>3.1</v>
      </c>
      <c r="B312" s="1">
        <f t="shared" si="4"/>
        <v>16.376100000000008</v>
      </c>
    </row>
    <row r="313" spans="1:2" x14ac:dyDescent="0.4">
      <c r="A313" s="1">
        <v>3.11</v>
      </c>
      <c r="B313" s="1">
        <f t="shared" si="4"/>
        <v>16.510622409999996</v>
      </c>
    </row>
    <row r="314" spans="1:2" x14ac:dyDescent="0.4">
      <c r="A314" s="1">
        <v>3.12</v>
      </c>
      <c r="B314" s="1">
        <f t="shared" si="4"/>
        <v>16.644495360000064</v>
      </c>
    </row>
    <row r="315" spans="1:2" x14ac:dyDescent="0.4">
      <c r="A315" s="1">
        <v>3.13</v>
      </c>
      <c r="B315" s="1">
        <f t="shared" si="4"/>
        <v>16.777697610000018</v>
      </c>
    </row>
    <row r="316" spans="1:2" x14ac:dyDescent="0.4">
      <c r="A316" s="1">
        <v>3.14</v>
      </c>
      <c r="B316" s="1">
        <f t="shared" si="4"/>
        <v>16.910208159999968</v>
      </c>
    </row>
    <row r="317" spans="1:2" x14ac:dyDescent="0.4">
      <c r="A317" s="1">
        <v>3.15</v>
      </c>
      <c r="B317" s="1">
        <f t="shared" si="4"/>
        <v>17.042006249999986</v>
      </c>
    </row>
    <row r="318" spans="1:2" x14ac:dyDescent="0.4">
      <c r="A318" s="1">
        <v>3.16</v>
      </c>
      <c r="B318" s="1">
        <f t="shared" si="4"/>
        <v>17.173071360000051</v>
      </c>
    </row>
    <row r="319" spans="1:2" x14ac:dyDescent="0.4">
      <c r="A319" s="1">
        <v>3.17</v>
      </c>
      <c r="B319" s="1">
        <f t="shared" si="4"/>
        <v>17.303383209999993</v>
      </c>
    </row>
    <row r="320" spans="1:2" x14ac:dyDescent="0.4">
      <c r="A320" s="1">
        <v>3.18</v>
      </c>
      <c r="B320" s="1">
        <f t="shared" si="4"/>
        <v>17.432921759999886</v>
      </c>
    </row>
    <row r="321" spans="1:2" x14ac:dyDescent="0.4">
      <c r="A321" s="1">
        <v>3.19</v>
      </c>
      <c r="B321" s="1">
        <f t="shared" si="4"/>
        <v>17.561667209999996</v>
      </c>
    </row>
    <row r="322" spans="1:2" x14ac:dyDescent="0.4">
      <c r="A322" s="1">
        <v>3.2</v>
      </c>
      <c r="B322" s="1">
        <f t="shared" si="4"/>
        <v>17.689600000000041</v>
      </c>
    </row>
    <row r="323" spans="1:2" x14ac:dyDescent="0.4">
      <c r="A323" s="1">
        <v>3.21</v>
      </c>
      <c r="B323" s="1">
        <f t="shared" ref="B323:B386" si="5">A323^4-16*A323^3+88*A323^2-190*A323+144</f>
        <v>17.816700810000043</v>
      </c>
    </row>
    <row r="324" spans="1:2" x14ac:dyDescent="0.4">
      <c r="A324" s="1">
        <v>3.22</v>
      </c>
      <c r="B324" s="1">
        <f t="shared" si="5"/>
        <v>17.942950559999872</v>
      </c>
    </row>
    <row r="325" spans="1:2" x14ac:dyDescent="0.4">
      <c r="A325" s="1">
        <v>3.23</v>
      </c>
      <c r="B325" s="1">
        <f t="shared" si="5"/>
        <v>18.06833040999993</v>
      </c>
    </row>
    <row r="326" spans="1:2" x14ac:dyDescent="0.4">
      <c r="A326" s="1">
        <v>3.24</v>
      </c>
      <c r="B326" s="1">
        <f t="shared" si="5"/>
        <v>18.192821760000015</v>
      </c>
    </row>
    <row r="327" spans="1:2" x14ac:dyDescent="0.4">
      <c r="A327" s="1">
        <v>3.25</v>
      </c>
      <c r="B327" s="1">
        <f t="shared" si="5"/>
        <v>18.31640625</v>
      </c>
    </row>
    <row r="328" spans="1:2" x14ac:dyDescent="0.4">
      <c r="A328" s="1">
        <v>3.26</v>
      </c>
      <c r="B328" s="1">
        <f t="shared" si="5"/>
        <v>18.439065760000005</v>
      </c>
    </row>
    <row r="329" spans="1:2" x14ac:dyDescent="0.4">
      <c r="A329" s="1">
        <v>3.27</v>
      </c>
      <c r="B329" s="1">
        <f t="shared" si="5"/>
        <v>18.560782410000002</v>
      </c>
    </row>
    <row r="330" spans="1:2" x14ac:dyDescent="0.4">
      <c r="A330" s="1">
        <v>3.28</v>
      </c>
      <c r="B330" s="1">
        <f t="shared" si="5"/>
        <v>18.681538560000035</v>
      </c>
    </row>
    <row r="331" spans="1:2" x14ac:dyDescent="0.4">
      <c r="A331" s="1">
        <v>3.29</v>
      </c>
      <c r="B331" s="1">
        <f t="shared" si="5"/>
        <v>18.801316810000003</v>
      </c>
    </row>
    <row r="332" spans="1:2" x14ac:dyDescent="0.4">
      <c r="A332" s="1">
        <v>3.3</v>
      </c>
      <c r="B332" s="1">
        <f t="shared" si="5"/>
        <v>18.920099999999934</v>
      </c>
    </row>
    <row r="333" spans="1:2" x14ac:dyDescent="0.4">
      <c r="A333" s="1">
        <v>3.31</v>
      </c>
      <c r="B333" s="1">
        <f t="shared" si="5"/>
        <v>19.037871210000048</v>
      </c>
    </row>
    <row r="334" spans="1:2" x14ac:dyDescent="0.4">
      <c r="A334" s="1">
        <v>3.32</v>
      </c>
      <c r="B334" s="1">
        <f t="shared" si="5"/>
        <v>19.154613760000075</v>
      </c>
    </row>
    <row r="335" spans="1:2" x14ac:dyDescent="0.4">
      <c r="A335" s="1">
        <v>3.33</v>
      </c>
      <c r="B335" s="1">
        <f t="shared" si="5"/>
        <v>19.270311209999988</v>
      </c>
    </row>
    <row r="336" spans="1:2" x14ac:dyDescent="0.4">
      <c r="A336" s="1">
        <v>3.34</v>
      </c>
      <c r="B336" s="1">
        <f t="shared" si="5"/>
        <v>19.384947360000012</v>
      </c>
    </row>
    <row r="337" spans="1:2" x14ac:dyDescent="0.4">
      <c r="A337" s="1">
        <v>3.35</v>
      </c>
      <c r="B337" s="1">
        <f t="shared" si="5"/>
        <v>19.498506249999991</v>
      </c>
    </row>
    <row r="338" spans="1:2" x14ac:dyDescent="0.4">
      <c r="A338" s="1">
        <v>3.36</v>
      </c>
      <c r="B338" s="1">
        <f t="shared" si="5"/>
        <v>19.61097215999996</v>
      </c>
    </row>
    <row r="339" spans="1:2" x14ac:dyDescent="0.4">
      <c r="A339" s="1">
        <v>3.37</v>
      </c>
      <c r="B339" s="1">
        <f t="shared" si="5"/>
        <v>19.722329609999974</v>
      </c>
    </row>
    <row r="340" spans="1:2" x14ac:dyDescent="0.4">
      <c r="A340" s="1">
        <v>3.38</v>
      </c>
      <c r="B340" s="1">
        <f t="shared" si="5"/>
        <v>19.832563360000108</v>
      </c>
    </row>
    <row r="341" spans="1:2" x14ac:dyDescent="0.4">
      <c r="A341" s="1">
        <v>3.39</v>
      </c>
      <c r="B341" s="1">
        <f t="shared" si="5"/>
        <v>19.941658410000059</v>
      </c>
    </row>
    <row r="342" spans="1:2" x14ac:dyDescent="0.4">
      <c r="A342" s="1">
        <v>3.4</v>
      </c>
      <c r="B342" s="1">
        <f t="shared" si="5"/>
        <v>20.049599999999941</v>
      </c>
    </row>
    <row r="343" spans="1:2" x14ac:dyDescent="0.4">
      <c r="A343" s="1">
        <v>3.41</v>
      </c>
      <c r="B343" s="1">
        <f t="shared" si="5"/>
        <v>20.156373610000173</v>
      </c>
    </row>
    <row r="344" spans="1:2" x14ac:dyDescent="0.4">
      <c r="A344" s="1">
        <v>3.42</v>
      </c>
      <c r="B344" s="1">
        <f t="shared" si="5"/>
        <v>20.26196496</v>
      </c>
    </row>
    <row r="345" spans="1:2" x14ac:dyDescent="0.4">
      <c r="A345" s="1">
        <v>3.43</v>
      </c>
      <c r="B345" s="1">
        <f t="shared" si="5"/>
        <v>20.366360009999994</v>
      </c>
    </row>
    <row r="346" spans="1:2" x14ac:dyDescent="0.4">
      <c r="A346" s="1">
        <v>3.44</v>
      </c>
      <c r="B346" s="1">
        <f t="shared" si="5"/>
        <v>20.46954495999978</v>
      </c>
    </row>
    <row r="347" spans="1:2" x14ac:dyDescent="0.4">
      <c r="A347" s="1">
        <v>3.45</v>
      </c>
      <c r="B347" s="1">
        <f t="shared" si="5"/>
        <v>20.57150624999997</v>
      </c>
    </row>
    <row r="348" spans="1:2" x14ac:dyDescent="0.4">
      <c r="A348" s="1">
        <v>3.46</v>
      </c>
      <c r="B348" s="1">
        <f t="shared" si="5"/>
        <v>20.672230560000003</v>
      </c>
    </row>
    <row r="349" spans="1:2" x14ac:dyDescent="0.4">
      <c r="A349" s="1">
        <v>3.47</v>
      </c>
      <c r="B349" s="1">
        <f t="shared" si="5"/>
        <v>20.77170480999996</v>
      </c>
    </row>
    <row r="350" spans="1:2" x14ac:dyDescent="0.4">
      <c r="A350" s="1">
        <v>3.48</v>
      </c>
      <c r="B350" s="1">
        <f t="shared" si="5"/>
        <v>20.869916160000002</v>
      </c>
    </row>
    <row r="351" spans="1:2" x14ac:dyDescent="0.4">
      <c r="A351" s="1">
        <v>3.49</v>
      </c>
      <c r="B351" s="1">
        <f t="shared" si="5"/>
        <v>20.966852010000025</v>
      </c>
    </row>
    <row r="352" spans="1:2" x14ac:dyDescent="0.4">
      <c r="A352" s="1">
        <v>3.5</v>
      </c>
      <c r="B352" s="1">
        <f t="shared" si="5"/>
        <v>21.0625</v>
      </c>
    </row>
    <row r="353" spans="1:2" x14ac:dyDescent="0.4">
      <c r="A353" s="1">
        <v>3.51</v>
      </c>
      <c r="B353" s="1">
        <f t="shared" si="5"/>
        <v>21.15684801000009</v>
      </c>
    </row>
    <row r="354" spans="1:2" x14ac:dyDescent="0.4">
      <c r="A354" s="1">
        <v>3.52</v>
      </c>
      <c r="B354" s="1">
        <f t="shared" si="5"/>
        <v>21.249884160000079</v>
      </c>
    </row>
    <row r="355" spans="1:2" x14ac:dyDescent="0.4">
      <c r="A355" s="1">
        <v>3.53</v>
      </c>
      <c r="B355" s="1">
        <f t="shared" si="5"/>
        <v>21.341596810000055</v>
      </c>
    </row>
    <row r="356" spans="1:2" x14ac:dyDescent="0.4">
      <c r="A356" s="1">
        <v>3.54</v>
      </c>
      <c r="B356" s="1">
        <f t="shared" si="5"/>
        <v>21.431974559999958</v>
      </c>
    </row>
    <row r="357" spans="1:2" x14ac:dyDescent="0.4">
      <c r="A357" s="1">
        <v>3.55</v>
      </c>
      <c r="B357" s="1">
        <f t="shared" si="5"/>
        <v>21.521006250000028</v>
      </c>
    </row>
    <row r="358" spans="1:2" x14ac:dyDescent="0.4">
      <c r="A358" s="1">
        <v>3.56</v>
      </c>
      <c r="B358" s="1">
        <f t="shared" si="5"/>
        <v>21.608680960000015</v>
      </c>
    </row>
    <row r="359" spans="1:2" x14ac:dyDescent="0.4">
      <c r="A359" s="1">
        <v>3.57</v>
      </c>
      <c r="B359" s="1">
        <f t="shared" si="5"/>
        <v>21.694988009999975</v>
      </c>
    </row>
    <row r="360" spans="1:2" x14ac:dyDescent="0.4">
      <c r="A360" s="1">
        <v>3.58</v>
      </c>
      <c r="B360" s="1">
        <f t="shared" si="5"/>
        <v>21.779916960000037</v>
      </c>
    </row>
    <row r="361" spans="1:2" x14ac:dyDescent="0.4">
      <c r="A361" s="1">
        <v>3.59</v>
      </c>
      <c r="B361" s="1">
        <f t="shared" si="5"/>
        <v>21.863457610000069</v>
      </c>
    </row>
    <row r="362" spans="1:2" x14ac:dyDescent="0.4">
      <c r="A362" s="1">
        <v>3.6</v>
      </c>
      <c r="B362" s="1">
        <f t="shared" si="5"/>
        <v>21.945600000000013</v>
      </c>
    </row>
    <row r="363" spans="1:2" x14ac:dyDescent="0.4">
      <c r="A363" s="1">
        <v>3.61</v>
      </c>
      <c r="B363" s="1">
        <f t="shared" si="5"/>
        <v>22.026334410000004</v>
      </c>
    </row>
    <row r="364" spans="1:2" x14ac:dyDescent="0.4">
      <c r="A364" s="1">
        <v>3.62</v>
      </c>
      <c r="B364" s="1">
        <f t="shared" si="5"/>
        <v>22.105651360000024</v>
      </c>
    </row>
    <row r="365" spans="1:2" x14ac:dyDescent="0.4">
      <c r="A365" s="1">
        <v>3.63</v>
      </c>
      <c r="B365" s="1">
        <f t="shared" si="5"/>
        <v>22.18354161000002</v>
      </c>
    </row>
    <row r="366" spans="1:2" x14ac:dyDescent="0.4">
      <c r="A366" s="1">
        <v>3.64</v>
      </c>
      <c r="B366" s="1">
        <f t="shared" si="5"/>
        <v>22.259996160000128</v>
      </c>
    </row>
    <row r="367" spans="1:2" x14ac:dyDescent="0.4">
      <c r="A367" s="1">
        <v>3.65</v>
      </c>
      <c r="B367" s="1">
        <f t="shared" si="5"/>
        <v>22.335006249999878</v>
      </c>
    </row>
    <row r="368" spans="1:2" x14ac:dyDescent="0.4">
      <c r="A368" s="1">
        <v>3.66</v>
      </c>
      <c r="B368" s="1">
        <f t="shared" si="5"/>
        <v>22.40856336000013</v>
      </c>
    </row>
    <row r="369" spans="1:2" x14ac:dyDescent="0.4">
      <c r="A369" s="1">
        <v>3.67</v>
      </c>
      <c r="B369" s="1">
        <f t="shared" si="5"/>
        <v>22.480659209999999</v>
      </c>
    </row>
    <row r="370" spans="1:2" x14ac:dyDescent="0.4">
      <c r="A370" s="1">
        <v>3.68</v>
      </c>
      <c r="B370" s="1">
        <f t="shared" si="5"/>
        <v>22.551285760000155</v>
      </c>
    </row>
    <row r="371" spans="1:2" x14ac:dyDescent="0.4">
      <c r="A371" s="1">
        <v>3.69</v>
      </c>
      <c r="B371" s="1">
        <f t="shared" si="5"/>
        <v>22.620435209999869</v>
      </c>
    </row>
    <row r="372" spans="1:2" x14ac:dyDescent="0.4">
      <c r="A372" s="1">
        <v>3.7</v>
      </c>
      <c r="B372" s="1">
        <f t="shared" si="5"/>
        <v>22.688099999999963</v>
      </c>
    </row>
    <row r="373" spans="1:2" x14ac:dyDescent="0.4">
      <c r="A373" s="1">
        <v>3.71</v>
      </c>
      <c r="B373" s="1">
        <f t="shared" si="5"/>
        <v>22.754272810000089</v>
      </c>
    </row>
    <row r="374" spans="1:2" x14ac:dyDescent="0.4">
      <c r="A374" s="1">
        <v>3.72</v>
      </c>
      <c r="B374" s="1">
        <f t="shared" si="5"/>
        <v>22.818946560000086</v>
      </c>
    </row>
    <row r="375" spans="1:2" x14ac:dyDescent="0.4">
      <c r="A375" s="1">
        <v>3.73</v>
      </c>
      <c r="B375" s="1">
        <f t="shared" si="5"/>
        <v>22.882114409999986</v>
      </c>
    </row>
    <row r="376" spans="1:2" x14ac:dyDescent="0.4">
      <c r="A376" s="1">
        <v>3.74</v>
      </c>
      <c r="B376" s="1">
        <f t="shared" si="5"/>
        <v>22.943769760000009</v>
      </c>
    </row>
    <row r="377" spans="1:2" x14ac:dyDescent="0.4">
      <c r="A377" s="1">
        <v>3.75</v>
      </c>
      <c r="B377" s="1">
        <f t="shared" si="5"/>
        <v>23.00390625</v>
      </c>
    </row>
    <row r="378" spans="1:2" x14ac:dyDescent="0.4">
      <c r="A378" s="1">
        <v>3.76</v>
      </c>
      <c r="B378" s="1">
        <f t="shared" si="5"/>
        <v>23.062517760000105</v>
      </c>
    </row>
    <row r="379" spans="1:2" x14ac:dyDescent="0.4">
      <c r="A379" s="1">
        <v>3.77</v>
      </c>
      <c r="B379" s="1">
        <f t="shared" si="5"/>
        <v>23.119598409999867</v>
      </c>
    </row>
    <row r="380" spans="1:2" x14ac:dyDescent="0.4">
      <c r="A380" s="1">
        <v>3.78</v>
      </c>
      <c r="B380" s="1">
        <f t="shared" si="5"/>
        <v>23.175142559999927</v>
      </c>
    </row>
    <row r="381" spans="1:2" x14ac:dyDescent="0.4">
      <c r="A381" s="1">
        <v>3.79</v>
      </c>
      <c r="B381" s="1">
        <f t="shared" si="5"/>
        <v>23.22914480999998</v>
      </c>
    </row>
    <row r="382" spans="1:2" x14ac:dyDescent="0.4">
      <c r="A382" s="1">
        <v>3.8</v>
      </c>
      <c r="B382" s="1">
        <f t="shared" si="5"/>
        <v>23.28160000000014</v>
      </c>
    </row>
    <row r="383" spans="1:2" x14ac:dyDescent="0.4">
      <c r="A383" s="1">
        <v>3.81</v>
      </c>
      <c r="B383" s="1">
        <f t="shared" si="5"/>
        <v>23.332503209999913</v>
      </c>
    </row>
    <row r="384" spans="1:2" x14ac:dyDescent="0.4">
      <c r="A384" s="1">
        <v>3.82</v>
      </c>
      <c r="B384" s="1">
        <f t="shared" si="5"/>
        <v>23.381849760000136</v>
      </c>
    </row>
    <row r="385" spans="1:2" x14ac:dyDescent="0.4">
      <c r="A385" s="1">
        <v>3.83</v>
      </c>
      <c r="B385" s="1">
        <f t="shared" si="5"/>
        <v>23.429635209999901</v>
      </c>
    </row>
    <row r="386" spans="1:2" x14ac:dyDescent="0.4">
      <c r="A386" s="1">
        <v>3.84</v>
      </c>
      <c r="B386" s="1">
        <f t="shared" si="5"/>
        <v>23.475855359999855</v>
      </c>
    </row>
    <row r="387" spans="1:2" x14ac:dyDescent="0.4">
      <c r="A387" s="1">
        <v>3.85</v>
      </c>
      <c r="B387" s="1">
        <f t="shared" ref="B387:B450" si="6">A387^4-16*A387^3+88*A387^2-190*A387+144</f>
        <v>23.520506250000039</v>
      </c>
    </row>
    <row r="388" spans="1:2" x14ac:dyDescent="0.4">
      <c r="A388" s="1">
        <v>3.86</v>
      </c>
      <c r="B388" s="1">
        <f t="shared" si="6"/>
        <v>23.563584160000119</v>
      </c>
    </row>
    <row r="389" spans="1:2" x14ac:dyDescent="0.4">
      <c r="A389" s="1">
        <v>3.87</v>
      </c>
      <c r="B389" s="1">
        <f t="shared" si="6"/>
        <v>23.605085609999946</v>
      </c>
    </row>
    <row r="390" spans="1:2" x14ac:dyDescent="0.4">
      <c r="A390" s="1">
        <v>3.88</v>
      </c>
      <c r="B390" s="1">
        <f t="shared" si="6"/>
        <v>23.645007360000022</v>
      </c>
    </row>
    <row r="391" spans="1:2" x14ac:dyDescent="0.4">
      <c r="A391" s="1">
        <v>3.89</v>
      </c>
      <c r="B391" s="1">
        <f t="shared" si="6"/>
        <v>23.683346409999899</v>
      </c>
    </row>
    <row r="392" spans="1:2" x14ac:dyDescent="0.4">
      <c r="A392" s="1">
        <v>3.9</v>
      </c>
      <c r="B392" s="1">
        <f t="shared" si="6"/>
        <v>23.720100000000002</v>
      </c>
    </row>
    <row r="393" spans="1:2" x14ac:dyDescent="0.4">
      <c r="A393" s="1">
        <v>3.91</v>
      </c>
      <c r="B393" s="1">
        <f t="shared" si="6"/>
        <v>23.755265610000038</v>
      </c>
    </row>
    <row r="394" spans="1:2" x14ac:dyDescent="0.4">
      <c r="A394" s="1">
        <v>3.92</v>
      </c>
      <c r="B394" s="1">
        <f t="shared" si="6"/>
        <v>23.788840960000016</v>
      </c>
    </row>
    <row r="395" spans="1:2" x14ac:dyDescent="0.4">
      <c r="A395" s="1">
        <v>3.93</v>
      </c>
      <c r="B395" s="1">
        <f t="shared" si="6"/>
        <v>23.82082400999991</v>
      </c>
    </row>
    <row r="396" spans="1:2" x14ac:dyDescent="0.4">
      <c r="A396" s="1">
        <v>3.94</v>
      </c>
      <c r="B396" s="1">
        <f t="shared" si="6"/>
        <v>23.851212959999998</v>
      </c>
    </row>
    <row r="397" spans="1:2" x14ac:dyDescent="0.4">
      <c r="A397" s="1">
        <v>3.95</v>
      </c>
      <c r="B397" s="1">
        <f t="shared" si="6"/>
        <v>23.880006249999951</v>
      </c>
    </row>
    <row r="398" spans="1:2" x14ac:dyDescent="0.4">
      <c r="A398" s="1">
        <v>3.96</v>
      </c>
      <c r="B398" s="1">
        <f t="shared" si="6"/>
        <v>23.907202560000201</v>
      </c>
    </row>
    <row r="399" spans="1:2" x14ac:dyDescent="0.4">
      <c r="A399" s="1">
        <v>3.97</v>
      </c>
      <c r="B399" s="1">
        <f t="shared" si="6"/>
        <v>23.932800809999776</v>
      </c>
    </row>
    <row r="400" spans="1:2" x14ac:dyDescent="0.4">
      <c r="A400" s="1">
        <v>3.98</v>
      </c>
      <c r="B400" s="1">
        <f t="shared" si="6"/>
        <v>23.956800160000057</v>
      </c>
    </row>
    <row r="401" spans="1:2" x14ac:dyDescent="0.4">
      <c r="A401" s="1">
        <v>3.99</v>
      </c>
      <c r="B401" s="1">
        <f t="shared" si="6"/>
        <v>23.97920001</v>
      </c>
    </row>
    <row r="402" spans="1:2" x14ac:dyDescent="0.4">
      <c r="A402" s="1">
        <v>4</v>
      </c>
      <c r="B402" s="1">
        <f t="shared" si="6"/>
        <v>24</v>
      </c>
    </row>
    <row r="403" spans="1:2" x14ac:dyDescent="0.4">
      <c r="A403" s="1">
        <v>4.01</v>
      </c>
      <c r="B403" s="1">
        <f t="shared" si="6"/>
        <v>24.019200009999963</v>
      </c>
    </row>
    <row r="404" spans="1:2" x14ac:dyDescent="0.4">
      <c r="A404" s="1">
        <v>4.0199999999999996</v>
      </c>
      <c r="B404" s="1">
        <f t="shared" si="6"/>
        <v>24.036800159999984</v>
      </c>
    </row>
    <row r="405" spans="1:2" x14ac:dyDescent="0.4">
      <c r="A405" s="1">
        <v>4.03</v>
      </c>
      <c r="B405" s="1">
        <f t="shared" si="6"/>
        <v>24.052800810000008</v>
      </c>
    </row>
    <row r="406" spans="1:2" x14ac:dyDescent="0.4">
      <c r="A406" s="1">
        <v>4.04</v>
      </c>
      <c r="B406" s="1">
        <f t="shared" si="6"/>
        <v>24.067202560000055</v>
      </c>
    </row>
    <row r="407" spans="1:2" x14ac:dyDescent="0.4">
      <c r="A407" s="1">
        <v>4.05</v>
      </c>
      <c r="B407" s="1">
        <f t="shared" si="6"/>
        <v>24.080006250000224</v>
      </c>
    </row>
    <row r="408" spans="1:2" x14ac:dyDescent="0.4">
      <c r="A408" s="1">
        <v>4.0599999999999996</v>
      </c>
      <c r="B408" s="1">
        <f t="shared" si="6"/>
        <v>24.091212959999893</v>
      </c>
    </row>
    <row r="409" spans="1:2" x14ac:dyDescent="0.4">
      <c r="A409" s="1">
        <v>4.07</v>
      </c>
      <c r="B409" s="1">
        <f t="shared" si="6"/>
        <v>24.10082401000011</v>
      </c>
    </row>
    <row r="410" spans="1:2" x14ac:dyDescent="0.4">
      <c r="A410" s="1">
        <v>4.08</v>
      </c>
      <c r="B410" s="1">
        <f t="shared" si="6"/>
        <v>24.108840959999952</v>
      </c>
    </row>
    <row r="411" spans="1:2" x14ac:dyDescent="0.4">
      <c r="A411" s="1">
        <v>4.09</v>
      </c>
      <c r="B411" s="1">
        <f t="shared" si="6"/>
        <v>24.115265610000051</v>
      </c>
    </row>
    <row r="412" spans="1:2" x14ac:dyDescent="0.4">
      <c r="A412" s="1">
        <v>4.0999999999999996</v>
      </c>
      <c r="B412" s="1">
        <f t="shared" si="6"/>
        <v>24.120100000000207</v>
      </c>
    </row>
    <row r="413" spans="1:2" x14ac:dyDescent="0.4">
      <c r="A413" s="1">
        <v>4.1100000000000003</v>
      </c>
      <c r="B413" s="1">
        <f t="shared" si="6"/>
        <v>24.123346409999954</v>
      </c>
    </row>
    <row r="414" spans="1:2" x14ac:dyDescent="0.4">
      <c r="A414" s="1">
        <v>4.12</v>
      </c>
      <c r="B414" s="1">
        <f t="shared" si="6"/>
        <v>24.125007359999927</v>
      </c>
    </row>
    <row r="415" spans="1:2" x14ac:dyDescent="0.4">
      <c r="A415" s="1">
        <v>4.13</v>
      </c>
      <c r="B415" s="1">
        <f t="shared" si="6"/>
        <v>24.125085610000269</v>
      </c>
    </row>
    <row r="416" spans="1:2" x14ac:dyDescent="0.4">
      <c r="A416" s="1">
        <v>4.1399999999999997</v>
      </c>
      <c r="B416" s="1">
        <f t="shared" si="6"/>
        <v>24.123584160000178</v>
      </c>
    </row>
    <row r="417" spans="1:2" x14ac:dyDescent="0.4">
      <c r="A417" s="1">
        <v>4.1500000000000004</v>
      </c>
      <c r="B417" s="1">
        <f t="shared" si="6"/>
        <v>24.120506250000176</v>
      </c>
    </row>
    <row r="418" spans="1:2" x14ac:dyDescent="0.4">
      <c r="A418" s="1">
        <v>4.16</v>
      </c>
      <c r="B418" s="1">
        <f t="shared" si="6"/>
        <v>24.115855360000069</v>
      </c>
    </row>
    <row r="419" spans="1:2" x14ac:dyDescent="0.4">
      <c r="A419" s="1">
        <v>4.17</v>
      </c>
      <c r="B419" s="1">
        <f t="shared" si="6"/>
        <v>24.109635209999851</v>
      </c>
    </row>
    <row r="420" spans="1:2" x14ac:dyDescent="0.4">
      <c r="A420" s="1">
        <v>4.18</v>
      </c>
      <c r="B420" s="1">
        <f t="shared" si="6"/>
        <v>24.101849759999709</v>
      </c>
    </row>
    <row r="421" spans="1:2" x14ac:dyDescent="0.4">
      <c r="A421" s="1">
        <v>4.1900000000000004</v>
      </c>
      <c r="B421" s="1">
        <f t="shared" si="6"/>
        <v>24.092503210000132</v>
      </c>
    </row>
    <row r="422" spans="1:2" x14ac:dyDescent="0.4">
      <c r="A422" s="1">
        <v>4.2</v>
      </c>
      <c r="B422" s="1">
        <f t="shared" si="6"/>
        <v>24.08159999999998</v>
      </c>
    </row>
    <row r="423" spans="1:2" x14ac:dyDescent="0.4">
      <c r="A423" s="1">
        <v>4.21</v>
      </c>
      <c r="B423" s="1">
        <f t="shared" si="6"/>
        <v>24.069144810000125</v>
      </c>
    </row>
    <row r="424" spans="1:2" x14ac:dyDescent="0.4">
      <c r="A424" s="1">
        <v>4.22</v>
      </c>
      <c r="B424" s="1">
        <f t="shared" si="6"/>
        <v>24.055142560000036</v>
      </c>
    </row>
    <row r="425" spans="1:2" x14ac:dyDescent="0.4">
      <c r="A425" s="1">
        <v>4.2300000000000004</v>
      </c>
      <c r="B425" s="1">
        <f t="shared" si="6"/>
        <v>24.039598410000167</v>
      </c>
    </row>
    <row r="426" spans="1:2" x14ac:dyDescent="0.4">
      <c r="A426" s="1">
        <v>4.24</v>
      </c>
      <c r="B426" s="1">
        <f t="shared" si="6"/>
        <v>24.022517760000028</v>
      </c>
    </row>
    <row r="427" spans="1:2" x14ac:dyDescent="0.4">
      <c r="A427" s="1">
        <v>4.25</v>
      </c>
      <c r="B427" s="1">
        <f t="shared" si="6"/>
        <v>24.00390625</v>
      </c>
    </row>
    <row r="428" spans="1:2" x14ac:dyDescent="0.4">
      <c r="A428" s="1">
        <v>4.26</v>
      </c>
      <c r="B428" s="1">
        <f t="shared" si="6"/>
        <v>23.983769759999859</v>
      </c>
    </row>
    <row r="429" spans="1:2" x14ac:dyDescent="0.4">
      <c r="A429" s="1">
        <v>4.2699999999999996</v>
      </c>
      <c r="B429" s="1">
        <f t="shared" si="6"/>
        <v>23.96211441000014</v>
      </c>
    </row>
    <row r="430" spans="1:2" x14ac:dyDescent="0.4">
      <c r="A430" s="1">
        <v>4.28</v>
      </c>
      <c r="B430" s="1">
        <f t="shared" si="6"/>
        <v>23.938946559999749</v>
      </c>
    </row>
    <row r="431" spans="1:2" x14ac:dyDescent="0.4">
      <c r="A431" s="1">
        <v>4.29</v>
      </c>
      <c r="B431" s="1">
        <f t="shared" si="6"/>
        <v>23.914272810000057</v>
      </c>
    </row>
    <row r="432" spans="1:2" x14ac:dyDescent="0.4">
      <c r="A432" s="1">
        <v>4.3</v>
      </c>
      <c r="B432" s="1">
        <f t="shared" si="6"/>
        <v>23.888100000000009</v>
      </c>
    </row>
    <row r="433" spans="1:2" x14ac:dyDescent="0.4">
      <c r="A433" s="1">
        <v>4.3099999999999996</v>
      </c>
      <c r="B433" s="1">
        <f t="shared" si="6"/>
        <v>23.860435209999878</v>
      </c>
    </row>
    <row r="434" spans="1:2" x14ac:dyDescent="0.4">
      <c r="A434" s="1">
        <v>4.32</v>
      </c>
      <c r="B434" s="1">
        <f t="shared" si="6"/>
        <v>23.831285760000014</v>
      </c>
    </row>
    <row r="435" spans="1:2" x14ac:dyDescent="0.4">
      <c r="A435" s="1">
        <v>4.33</v>
      </c>
      <c r="B435" s="1">
        <f t="shared" si="6"/>
        <v>23.800659209999822</v>
      </c>
    </row>
    <row r="436" spans="1:2" x14ac:dyDescent="0.4">
      <c r="A436" s="1">
        <v>4.34</v>
      </c>
      <c r="B436" s="1">
        <f t="shared" si="6"/>
        <v>23.768563359999803</v>
      </c>
    </row>
    <row r="437" spans="1:2" x14ac:dyDescent="0.4">
      <c r="A437" s="1">
        <v>4.3499999999999996</v>
      </c>
      <c r="B437" s="1">
        <f t="shared" si="6"/>
        <v>23.735006249999856</v>
      </c>
    </row>
    <row r="438" spans="1:2" x14ac:dyDescent="0.4">
      <c r="A438" s="1">
        <v>4.3600000000000003</v>
      </c>
      <c r="B438" s="1">
        <f t="shared" si="6"/>
        <v>23.699996160000069</v>
      </c>
    </row>
    <row r="439" spans="1:2" x14ac:dyDescent="0.4">
      <c r="A439" s="1">
        <v>4.37</v>
      </c>
      <c r="B439" s="1">
        <f t="shared" si="6"/>
        <v>23.663541610000038</v>
      </c>
    </row>
    <row r="440" spans="1:2" x14ac:dyDescent="0.4">
      <c r="A440" s="1">
        <v>4.38</v>
      </c>
      <c r="B440" s="1">
        <f t="shared" si="6"/>
        <v>23.625651360000234</v>
      </c>
    </row>
    <row r="441" spans="1:2" x14ac:dyDescent="0.4">
      <c r="A441" s="1">
        <v>4.3899999999999997</v>
      </c>
      <c r="B441" s="1">
        <f t="shared" si="6"/>
        <v>23.586334410000063</v>
      </c>
    </row>
    <row r="442" spans="1:2" x14ac:dyDescent="0.4">
      <c r="A442" s="1">
        <v>4.4000000000000004</v>
      </c>
      <c r="B442" s="1">
        <f t="shared" si="6"/>
        <v>23.545599999999808</v>
      </c>
    </row>
    <row r="443" spans="1:2" x14ac:dyDescent="0.4">
      <c r="A443" s="1">
        <v>4.41</v>
      </c>
      <c r="B443" s="1">
        <f t="shared" si="6"/>
        <v>23.503457610000055</v>
      </c>
    </row>
    <row r="444" spans="1:2" x14ac:dyDescent="0.4">
      <c r="A444" s="1">
        <v>4.42</v>
      </c>
      <c r="B444" s="1">
        <f t="shared" si="6"/>
        <v>23.459916960000101</v>
      </c>
    </row>
    <row r="445" spans="1:2" x14ac:dyDescent="0.4">
      <c r="A445" s="1">
        <v>4.43</v>
      </c>
      <c r="B445" s="1">
        <f t="shared" si="6"/>
        <v>23.414988010000002</v>
      </c>
    </row>
    <row r="446" spans="1:2" x14ac:dyDescent="0.4">
      <c r="A446" s="1">
        <v>4.4400000000000004</v>
      </c>
      <c r="B446" s="1">
        <f t="shared" si="6"/>
        <v>23.36868096000012</v>
      </c>
    </row>
    <row r="447" spans="1:2" x14ac:dyDescent="0.4">
      <c r="A447" s="1">
        <v>4.45</v>
      </c>
      <c r="B447" s="1">
        <f t="shared" si="6"/>
        <v>23.321006250000096</v>
      </c>
    </row>
    <row r="448" spans="1:2" x14ac:dyDescent="0.4">
      <c r="A448" s="1">
        <v>4.46</v>
      </c>
      <c r="B448" s="1">
        <f t="shared" si="6"/>
        <v>23.271974560000103</v>
      </c>
    </row>
    <row r="449" spans="1:2" x14ac:dyDescent="0.4">
      <c r="A449" s="1">
        <v>4.47</v>
      </c>
      <c r="B449" s="1">
        <f t="shared" si="6"/>
        <v>23.221596810000165</v>
      </c>
    </row>
    <row r="450" spans="1:2" x14ac:dyDescent="0.4">
      <c r="A450" s="1">
        <v>4.4800000000000004</v>
      </c>
      <c r="B450" s="1">
        <f t="shared" si="6"/>
        <v>23.169884160000038</v>
      </c>
    </row>
    <row r="451" spans="1:2" x14ac:dyDescent="0.4">
      <c r="A451" s="1">
        <v>4.49</v>
      </c>
      <c r="B451" s="1">
        <f t="shared" ref="B451:B514" si="7">A451^4-16*A451^3+88*A451^2-190*A451+144</f>
        <v>23.116848010000126</v>
      </c>
    </row>
    <row r="452" spans="1:2" x14ac:dyDescent="0.4">
      <c r="A452" s="1">
        <v>4.5</v>
      </c>
      <c r="B452" s="1">
        <f t="shared" si="7"/>
        <v>23.0625</v>
      </c>
    </row>
    <row r="453" spans="1:2" x14ac:dyDescent="0.4">
      <c r="A453" s="1">
        <v>4.51</v>
      </c>
      <c r="B453" s="1">
        <f t="shared" si="7"/>
        <v>23.006852010000216</v>
      </c>
    </row>
    <row r="454" spans="1:2" x14ac:dyDescent="0.4">
      <c r="A454" s="1">
        <v>4.5199999999999996</v>
      </c>
      <c r="B454" s="1">
        <f t="shared" si="7"/>
        <v>22.94991615999993</v>
      </c>
    </row>
    <row r="455" spans="1:2" x14ac:dyDescent="0.4">
      <c r="A455" s="1">
        <v>4.53</v>
      </c>
      <c r="B455" s="1">
        <f t="shared" si="7"/>
        <v>22.891704809999965</v>
      </c>
    </row>
    <row r="456" spans="1:2" x14ac:dyDescent="0.4">
      <c r="A456" s="1">
        <v>4.54</v>
      </c>
      <c r="B456" s="1">
        <f t="shared" si="7"/>
        <v>22.832230560000085</v>
      </c>
    </row>
    <row r="457" spans="1:2" x14ac:dyDescent="0.4">
      <c r="A457" s="1">
        <v>4.55</v>
      </c>
      <c r="B457" s="1">
        <f t="shared" si="7"/>
        <v>22.771506249999675</v>
      </c>
    </row>
    <row r="458" spans="1:2" x14ac:dyDescent="0.4">
      <c r="A458" s="1">
        <v>4.5599999999999996</v>
      </c>
      <c r="B458" s="1">
        <f t="shared" si="7"/>
        <v>22.709544960000017</v>
      </c>
    </row>
    <row r="459" spans="1:2" x14ac:dyDescent="0.4">
      <c r="A459" s="1">
        <v>4.57</v>
      </c>
      <c r="B459" s="1">
        <f t="shared" si="7"/>
        <v>22.646360009999739</v>
      </c>
    </row>
    <row r="460" spans="1:2" x14ac:dyDescent="0.4">
      <c r="A460" s="1">
        <v>4.58</v>
      </c>
      <c r="B460" s="1">
        <f t="shared" si="7"/>
        <v>22.58196496000005</v>
      </c>
    </row>
    <row r="461" spans="1:2" x14ac:dyDescent="0.4">
      <c r="A461" s="1">
        <v>4.59</v>
      </c>
      <c r="B461" s="1">
        <f t="shared" si="7"/>
        <v>22.51637360999996</v>
      </c>
    </row>
    <row r="462" spans="1:2" x14ac:dyDescent="0.4">
      <c r="A462" s="1">
        <v>4.5999999999999996</v>
      </c>
      <c r="B462" s="1">
        <f t="shared" si="7"/>
        <v>22.44960000000026</v>
      </c>
    </row>
    <row r="463" spans="1:2" x14ac:dyDescent="0.4">
      <c r="A463" s="1">
        <v>4.6100000000000003</v>
      </c>
      <c r="B463" s="1">
        <f t="shared" si="7"/>
        <v>22.381658409999773</v>
      </c>
    </row>
    <row r="464" spans="1:2" x14ac:dyDescent="0.4">
      <c r="A464" s="1">
        <v>4.62</v>
      </c>
      <c r="B464" s="1">
        <f t="shared" si="7"/>
        <v>22.312563359999672</v>
      </c>
    </row>
    <row r="465" spans="1:2" x14ac:dyDescent="0.4">
      <c r="A465" s="1">
        <v>4.63</v>
      </c>
      <c r="B465" s="1">
        <f t="shared" si="7"/>
        <v>22.242329609999956</v>
      </c>
    </row>
    <row r="466" spans="1:2" x14ac:dyDescent="0.4">
      <c r="A466" s="1">
        <v>4.6399999999999997</v>
      </c>
      <c r="B466" s="1">
        <f t="shared" si="7"/>
        <v>22.170972160000019</v>
      </c>
    </row>
    <row r="467" spans="1:2" x14ac:dyDescent="0.4">
      <c r="A467" s="1">
        <v>4.6500000000000004</v>
      </c>
      <c r="B467" s="1">
        <f t="shared" si="7"/>
        <v>22.098506249999787</v>
      </c>
    </row>
    <row r="468" spans="1:2" x14ac:dyDescent="0.4">
      <c r="A468" s="1">
        <v>4.66</v>
      </c>
      <c r="B468" s="1">
        <f t="shared" si="7"/>
        <v>22.024947360000283</v>
      </c>
    </row>
    <row r="469" spans="1:2" x14ac:dyDescent="0.4">
      <c r="A469" s="1">
        <v>4.67</v>
      </c>
      <c r="B469" s="1">
        <f t="shared" si="7"/>
        <v>21.950311209999654</v>
      </c>
    </row>
    <row r="470" spans="1:2" x14ac:dyDescent="0.4">
      <c r="A470" s="1">
        <v>4.68</v>
      </c>
      <c r="B470" s="1">
        <f t="shared" si="7"/>
        <v>21.874613759999988</v>
      </c>
    </row>
    <row r="471" spans="1:2" x14ac:dyDescent="0.4">
      <c r="A471" s="1">
        <v>4.6900000000000004</v>
      </c>
      <c r="B471" s="1">
        <f t="shared" si="7"/>
        <v>21.797871209999926</v>
      </c>
    </row>
    <row r="472" spans="1:2" x14ac:dyDescent="0.4">
      <c r="A472" s="1">
        <v>4.7</v>
      </c>
      <c r="B472" s="1">
        <f t="shared" si="7"/>
        <v>21.72010000000023</v>
      </c>
    </row>
    <row r="473" spans="1:2" x14ac:dyDescent="0.4">
      <c r="A473" s="1">
        <v>4.71</v>
      </c>
      <c r="B473" s="1">
        <f t="shared" si="7"/>
        <v>21.641316810000149</v>
      </c>
    </row>
    <row r="474" spans="1:2" x14ac:dyDescent="0.4">
      <c r="A474" s="1">
        <v>4.72</v>
      </c>
      <c r="B474" s="1">
        <f t="shared" si="7"/>
        <v>21.561538559999917</v>
      </c>
    </row>
    <row r="475" spans="1:2" x14ac:dyDescent="0.4">
      <c r="A475" s="1">
        <v>4.7300000000000004</v>
      </c>
      <c r="B475" s="1">
        <f t="shared" si="7"/>
        <v>21.480782410000074</v>
      </c>
    </row>
    <row r="476" spans="1:2" x14ac:dyDescent="0.4">
      <c r="A476" s="1">
        <v>4.74</v>
      </c>
      <c r="B476" s="1">
        <f t="shared" si="7"/>
        <v>21.399065760000099</v>
      </c>
    </row>
    <row r="477" spans="1:2" x14ac:dyDescent="0.4">
      <c r="A477" s="1">
        <v>4.75</v>
      </c>
      <c r="B477" s="1">
        <f t="shared" si="7"/>
        <v>21.31640625</v>
      </c>
    </row>
    <row r="478" spans="1:2" x14ac:dyDescent="0.4">
      <c r="A478" s="1">
        <v>4.76</v>
      </c>
      <c r="B478" s="1">
        <f t="shared" si="7"/>
        <v>21.232821760000093</v>
      </c>
    </row>
    <row r="479" spans="1:2" x14ac:dyDescent="0.4">
      <c r="A479" s="1">
        <v>4.7699999999999996</v>
      </c>
      <c r="B479" s="1">
        <f t="shared" si="7"/>
        <v>21.148330409999971</v>
      </c>
    </row>
    <row r="480" spans="1:2" x14ac:dyDescent="0.4">
      <c r="A480" s="1">
        <v>4.78</v>
      </c>
      <c r="B480" s="1">
        <f t="shared" si="7"/>
        <v>21.062950559999763</v>
      </c>
    </row>
    <row r="481" spans="1:2" x14ac:dyDescent="0.4">
      <c r="A481" s="1">
        <v>4.79</v>
      </c>
      <c r="B481" s="1">
        <f t="shared" si="7"/>
        <v>20.976700809999898</v>
      </c>
    </row>
    <row r="482" spans="1:2" x14ac:dyDescent="0.4">
      <c r="A482" s="1">
        <v>4.8</v>
      </c>
      <c r="B482" s="1">
        <f t="shared" si="7"/>
        <v>20.889599999999973</v>
      </c>
    </row>
    <row r="483" spans="1:2" x14ac:dyDescent="0.4">
      <c r="A483" s="1">
        <v>4.8099999999999996</v>
      </c>
      <c r="B483" s="1">
        <f t="shared" si="7"/>
        <v>20.801667210000119</v>
      </c>
    </row>
    <row r="484" spans="1:2" x14ac:dyDescent="0.4">
      <c r="A484" s="1">
        <v>4.82</v>
      </c>
      <c r="B484" s="1">
        <f t="shared" si="7"/>
        <v>20.712921759999858</v>
      </c>
    </row>
    <row r="485" spans="1:2" x14ac:dyDescent="0.4">
      <c r="A485" s="1">
        <v>4.83</v>
      </c>
      <c r="B485" s="1">
        <f t="shared" si="7"/>
        <v>20.623383209999929</v>
      </c>
    </row>
    <row r="486" spans="1:2" x14ac:dyDescent="0.4">
      <c r="A486" s="1">
        <v>4.84</v>
      </c>
      <c r="B486" s="1">
        <f t="shared" si="7"/>
        <v>20.533071360000008</v>
      </c>
    </row>
    <row r="487" spans="1:2" x14ac:dyDescent="0.4">
      <c r="A487" s="1">
        <v>4.8499999999999996</v>
      </c>
      <c r="B487" s="1">
        <f t="shared" si="7"/>
        <v>20.442006249999963</v>
      </c>
    </row>
    <row r="488" spans="1:2" x14ac:dyDescent="0.4">
      <c r="A488" s="1">
        <v>4.8600000000000003</v>
      </c>
      <c r="B488" s="1">
        <f t="shared" si="7"/>
        <v>20.350208159999966</v>
      </c>
    </row>
    <row r="489" spans="1:2" x14ac:dyDescent="0.4">
      <c r="A489" s="1">
        <v>4.87</v>
      </c>
      <c r="B489" s="1">
        <f t="shared" si="7"/>
        <v>20.257697610000037</v>
      </c>
    </row>
    <row r="490" spans="1:2" x14ac:dyDescent="0.4">
      <c r="A490" s="1">
        <v>4.88</v>
      </c>
      <c r="B490" s="1">
        <f t="shared" si="7"/>
        <v>20.164495359999933</v>
      </c>
    </row>
    <row r="491" spans="1:2" x14ac:dyDescent="0.4">
      <c r="A491" s="1">
        <v>4.8899999999999997</v>
      </c>
      <c r="B491" s="1">
        <f t="shared" si="7"/>
        <v>20.070622409999942</v>
      </c>
    </row>
    <row r="492" spans="1:2" x14ac:dyDescent="0.4">
      <c r="A492" s="1">
        <v>4.9000000000000004</v>
      </c>
      <c r="B492" s="1">
        <f t="shared" si="7"/>
        <v>19.976100000000201</v>
      </c>
    </row>
    <row r="493" spans="1:2" x14ac:dyDescent="0.4">
      <c r="A493" s="1">
        <v>4.91</v>
      </c>
      <c r="B493" s="1">
        <f t="shared" si="7"/>
        <v>19.880949609999902</v>
      </c>
    </row>
    <row r="494" spans="1:2" x14ac:dyDescent="0.4">
      <c r="A494" s="1">
        <v>4.92</v>
      </c>
      <c r="B494" s="1">
        <f t="shared" si="7"/>
        <v>19.785192960000131</v>
      </c>
    </row>
    <row r="495" spans="1:2" x14ac:dyDescent="0.4">
      <c r="A495" s="1">
        <v>4.93</v>
      </c>
      <c r="B495" s="1">
        <f t="shared" si="7"/>
        <v>19.688852009999778</v>
      </c>
    </row>
    <row r="496" spans="1:2" x14ac:dyDescent="0.4">
      <c r="A496" s="1">
        <v>4.9400000000000004</v>
      </c>
      <c r="B496" s="1">
        <f t="shared" si="7"/>
        <v>19.591948959999968</v>
      </c>
    </row>
    <row r="497" spans="1:2" x14ac:dyDescent="0.4">
      <c r="A497" s="1">
        <v>4.95</v>
      </c>
      <c r="B497" s="1">
        <f t="shared" si="7"/>
        <v>19.494506250000086</v>
      </c>
    </row>
    <row r="498" spans="1:2" x14ac:dyDescent="0.4">
      <c r="A498" s="1">
        <v>4.96</v>
      </c>
      <c r="B498" s="1">
        <f t="shared" si="7"/>
        <v>19.396546560000274</v>
      </c>
    </row>
    <row r="499" spans="1:2" x14ac:dyDescent="0.4">
      <c r="A499" s="1">
        <v>4.97</v>
      </c>
      <c r="B499" s="1">
        <f t="shared" si="7"/>
        <v>19.298092809999844</v>
      </c>
    </row>
    <row r="500" spans="1:2" x14ac:dyDescent="0.4">
      <c r="A500" s="1">
        <v>4.9800000000000004</v>
      </c>
      <c r="B500" s="1">
        <f t="shared" si="7"/>
        <v>19.199168159999999</v>
      </c>
    </row>
    <row r="501" spans="1:2" x14ac:dyDescent="0.4">
      <c r="A501" s="1">
        <v>4.99</v>
      </c>
      <c r="B501" s="1">
        <f t="shared" si="7"/>
        <v>19.099796010000205</v>
      </c>
    </row>
    <row r="502" spans="1:2" x14ac:dyDescent="0.4">
      <c r="A502" s="1">
        <v>5</v>
      </c>
      <c r="B502" s="1">
        <f t="shared" si="7"/>
        <v>19</v>
      </c>
    </row>
    <row r="503" spans="1:2" x14ac:dyDescent="0.4">
      <c r="A503" s="1">
        <v>5.01</v>
      </c>
      <c r="B503" s="1">
        <f t="shared" si="7"/>
        <v>18.899804010000139</v>
      </c>
    </row>
    <row r="504" spans="1:2" x14ac:dyDescent="0.4">
      <c r="A504" s="1">
        <v>5.0199999999999996</v>
      </c>
      <c r="B504" s="1">
        <f t="shared" si="7"/>
        <v>18.799232160000201</v>
      </c>
    </row>
    <row r="505" spans="1:2" x14ac:dyDescent="0.4">
      <c r="A505" s="1">
        <v>5.03</v>
      </c>
      <c r="B505" s="1">
        <f t="shared" si="7"/>
        <v>18.698308810000071</v>
      </c>
    </row>
    <row r="506" spans="1:2" x14ac:dyDescent="0.4">
      <c r="A506" s="1">
        <v>5.04</v>
      </c>
      <c r="B506" s="1">
        <f t="shared" si="7"/>
        <v>18.597058559999709</v>
      </c>
    </row>
    <row r="507" spans="1:2" x14ac:dyDescent="0.4">
      <c r="A507" s="1">
        <v>5.05</v>
      </c>
      <c r="B507" s="1">
        <f t="shared" si="7"/>
        <v>18.495506249999835</v>
      </c>
    </row>
    <row r="508" spans="1:2" x14ac:dyDescent="0.4">
      <c r="A508" s="1">
        <v>5.0599999999999996</v>
      </c>
      <c r="B508" s="1">
        <f t="shared" si="7"/>
        <v>18.393676960000107</v>
      </c>
    </row>
    <row r="509" spans="1:2" x14ac:dyDescent="0.4">
      <c r="A509" s="1">
        <v>5.07</v>
      </c>
      <c r="B509" s="1">
        <f t="shared" si="7"/>
        <v>18.291596010000262</v>
      </c>
    </row>
    <row r="510" spans="1:2" x14ac:dyDescent="0.4">
      <c r="A510" s="1">
        <v>5.08</v>
      </c>
      <c r="B510" s="1">
        <f t="shared" si="7"/>
        <v>18.189288960000113</v>
      </c>
    </row>
    <row r="511" spans="1:2" x14ac:dyDescent="0.4">
      <c r="A511" s="1">
        <v>5.09</v>
      </c>
      <c r="B511" s="1">
        <f t="shared" si="7"/>
        <v>18.086781609999775</v>
      </c>
    </row>
    <row r="512" spans="1:2" x14ac:dyDescent="0.4">
      <c r="A512" s="1">
        <v>5.0999999999999996</v>
      </c>
      <c r="B512" s="1">
        <f t="shared" si="7"/>
        <v>17.984099999999785</v>
      </c>
    </row>
    <row r="513" spans="1:2" x14ac:dyDescent="0.4">
      <c r="A513" s="1">
        <v>5.1100000000000003</v>
      </c>
      <c r="B513" s="1">
        <f t="shared" si="7"/>
        <v>17.88127041000007</v>
      </c>
    </row>
    <row r="514" spans="1:2" x14ac:dyDescent="0.4">
      <c r="A514" s="1">
        <v>5.12</v>
      </c>
      <c r="B514" s="1">
        <f t="shared" si="7"/>
        <v>17.778319359999728</v>
      </c>
    </row>
    <row r="515" spans="1:2" x14ac:dyDescent="0.4">
      <c r="A515" s="1">
        <v>5.13</v>
      </c>
      <c r="B515" s="1">
        <f t="shared" ref="B515:B578" si="8">A515^4-16*A515^3+88*A515^2-190*A515+144</f>
        <v>17.67527361000009</v>
      </c>
    </row>
    <row r="516" spans="1:2" x14ac:dyDescent="0.4">
      <c r="A516" s="1">
        <v>5.14</v>
      </c>
      <c r="B516" s="1">
        <f t="shared" si="8"/>
        <v>17.572160160000294</v>
      </c>
    </row>
    <row r="517" spans="1:2" x14ac:dyDescent="0.4">
      <c r="A517" s="1">
        <v>5.15</v>
      </c>
      <c r="B517" s="1">
        <f t="shared" si="8"/>
        <v>17.469006250000007</v>
      </c>
    </row>
    <row r="518" spans="1:2" x14ac:dyDescent="0.4">
      <c r="A518" s="1">
        <v>5.16</v>
      </c>
      <c r="B518" s="1">
        <f t="shared" si="8"/>
        <v>17.365839360000223</v>
      </c>
    </row>
    <row r="519" spans="1:2" x14ac:dyDescent="0.4">
      <c r="A519" s="1">
        <v>5.17</v>
      </c>
      <c r="B519" s="1">
        <f t="shared" si="8"/>
        <v>17.262687210000195</v>
      </c>
    </row>
    <row r="520" spans="1:2" x14ac:dyDescent="0.4">
      <c r="A520" s="1">
        <v>5.18</v>
      </c>
      <c r="B520" s="1">
        <f t="shared" si="8"/>
        <v>17.159577760000161</v>
      </c>
    </row>
    <row r="521" spans="1:2" x14ac:dyDescent="0.4">
      <c r="A521" s="1">
        <v>5.19</v>
      </c>
      <c r="B521" s="1">
        <f t="shared" si="8"/>
        <v>17.056539210000096</v>
      </c>
    </row>
    <row r="522" spans="1:2" x14ac:dyDescent="0.4">
      <c r="A522" s="1">
        <v>5.2</v>
      </c>
      <c r="B522" s="1">
        <f t="shared" si="8"/>
        <v>16.953600000000051</v>
      </c>
    </row>
    <row r="523" spans="1:2" x14ac:dyDescent="0.4">
      <c r="A523" s="1">
        <v>5.21</v>
      </c>
      <c r="B523" s="1">
        <f t="shared" si="8"/>
        <v>16.850788809999472</v>
      </c>
    </row>
    <row r="524" spans="1:2" x14ac:dyDescent="0.4">
      <c r="A524" s="1">
        <v>5.22</v>
      </c>
      <c r="B524" s="1">
        <f t="shared" si="8"/>
        <v>16.748134560000153</v>
      </c>
    </row>
    <row r="525" spans="1:2" x14ac:dyDescent="0.4">
      <c r="A525" s="1">
        <v>5.23</v>
      </c>
      <c r="B525" s="1">
        <f t="shared" si="8"/>
        <v>16.645666410000331</v>
      </c>
    </row>
    <row r="526" spans="1:2" x14ac:dyDescent="0.4">
      <c r="A526" s="1">
        <v>5.24</v>
      </c>
      <c r="B526" s="1">
        <f t="shared" si="8"/>
        <v>16.543413759999908</v>
      </c>
    </row>
    <row r="527" spans="1:2" x14ac:dyDescent="0.4">
      <c r="A527" s="1">
        <v>5.25</v>
      </c>
      <c r="B527" s="1">
        <f t="shared" si="8"/>
        <v>16.44140625</v>
      </c>
    </row>
    <row r="528" spans="1:2" x14ac:dyDescent="0.4">
      <c r="A528" s="1">
        <v>5.26</v>
      </c>
      <c r="B528" s="1">
        <f t="shared" si="8"/>
        <v>16.33967376000021</v>
      </c>
    </row>
    <row r="529" spans="1:2" x14ac:dyDescent="0.4">
      <c r="A529" s="1">
        <v>5.27</v>
      </c>
      <c r="B529" s="1">
        <f t="shared" si="8"/>
        <v>16.238246410000329</v>
      </c>
    </row>
    <row r="530" spans="1:2" x14ac:dyDescent="0.4">
      <c r="A530" s="1">
        <v>5.28</v>
      </c>
      <c r="B530" s="1">
        <f t="shared" si="8"/>
        <v>16.137154560000226</v>
      </c>
    </row>
    <row r="531" spans="1:2" x14ac:dyDescent="0.4">
      <c r="A531" s="1">
        <v>5.29</v>
      </c>
      <c r="B531" s="1">
        <f t="shared" si="8"/>
        <v>16.036428810000302</v>
      </c>
    </row>
    <row r="532" spans="1:2" x14ac:dyDescent="0.4">
      <c r="A532" s="1">
        <v>5.3</v>
      </c>
      <c r="B532" s="1">
        <f t="shared" si="8"/>
        <v>15.936100000000351</v>
      </c>
    </row>
    <row r="533" spans="1:2" x14ac:dyDescent="0.4">
      <c r="A533" s="1">
        <v>5.31</v>
      </c>
      <c r="B533" s="1">
        <f t="shared" si="8"/>
        <v>15.836199210000018</v>
      </c>
    </row>
    <row r="534" spans="1:2" x14ac:dyDescent="0.4">
      <c r="A534" s="1">
        <v>5.32</v>
      </c>
      <c r="B534" s="1">
        <f t="shared" si="8"/>
        <v>15.736757760000387</v>
      </c>
    </row>
    <row r="535" spans="1:2" x14ac:dyDescent="0.4">
      <c r="A535" s="1">
        <v>5.33</v>
      </c>
      <c r="B535" s="1">
        <f t="shared" si="8"/>
        <v>15.637807210000346</v>
      </c>
    </row>
    <row r="536" spans="1:2" x14ac:dyDescent="0.4">
      <c r="A536" s="1">
        <v>5.34</v>
      </c>
      <c r="B536" s="1">
        <f t="shared" si="8"/>
        <v>15.539379359999998</v>
      </c>
    </row>
    <row r="537" spans="1:2" x14ac:dyDescent="0.4">
      <c r="A537" s="1">
        <v>5.35</v>
      </c>
      <c r="B537" s="1">
        <f t="shared" si="8"/>
        <v>15.441506250000316</v>
      </c>
    </row>
    <row r="538" spans="1:2" x14ac:dyDescent="0.4">
      <c r="A538" s="1">
        <v>5.36</v>
      </c>
      <c r="B538" s="1">
        <f t="shared" si="8"/>
        <v>15.344220160000077</v>
      </c>
    </row>
    <row r="539" spans="1:2" x14ac:dyDescent="0.4">
      <c r="A539" s="1">
        <v>5.37</v>
      </c>
      <c r="B539" s="1">
        <f t="shared" si="8"/>
        <v>15.247553609999727</v>
      </c>
    </row>
    <row r="540" spans="1:2" x14ac:dyDescent="0.4">
      <c r="A540" s="1">
        <v>5.38</v>
      </c>
      <c r="B540" s="1">
        <f t="shared" si="8"/>
        <v>15.151539360000129</v>
      </c>
    </row>
    <row r="541" spans="1:2" x14ac:dyDescent="0.4">
      <c r="A541" s="1">
        <v>5.39</v>
      </c>
      <c r="B541" s="1">
        <f t="shared" si="8"/>
        <v>15.056210409999721</v>
      </c>
    </row>
    <row r="542" spans="1:2" x14ac:dyDescent="0.4">
      <c r="A542" s="1">
        <v>5.4</v>
      </c>
      <c r="B542" s="1">
        <f t="shared" si="8"/>
        <v>14.961600000000089</v>
      </c>
    </row>
    <row r="543" spans="1:2" x14ac:dyDescent="0.4">
      <c r="A543" s="1">
        <v>5.41</v>
      </c>
      <c r="B543" s="1">
        <f t="shared" si="8"/>
        <v>14.867741609999484</v>
      </c>
    </row>
    <row r="544" spans="1:2" x14ac:dyDescent="0.4">
      <c r="A544" s="1">
        <v>5.42</v>
      </c>
      <c r="B544" s="1">
        <f t="shared" si="8"/>
        <v>14.774668960000099</v>
      </c>
    </row>
    <row r="545" spans="1:2" x14ac:dyDescent="0.4">
      <c r="A545" s="1">
        <v>5.43</v>
      </c>
      <c r="B545" s="1">
        <f t="shared" si="8"/>
        <v>14.682416010000225</v>
      </c>
    </row>
    <row r="546" spans="1:2" x14ac:dyDescent="0.4">
      <c r="A546" s="1">
        <v>5.44</v>
      </c>
      <c r="B546" s="1">
        <f t="shared" si="8"/>
        <v>14.591016959999934</v>
      </c>
    </row>
    <row r="547" spans="1:2" x14ac:dyDescent="0.4">
      <c r="A547" s="1">
        <v>5.45</v>
      </c>
      <c r="B547" s="1">
        <f t="shared" si="8"/>
        <v>14.500506250000171</v>
      </c>
    </row>
    <row r="548" spans="1:2" x14ac:dyDescent="0.4">
      <c r="A548" s="1">
        <v>5.46</v>
      </c>
      <c r="B548" s="1">
        <f t="shared" si="8"/>
        <v>14.4109185599998</v>
      </c>
    </row>
    <row r="549" spans="1:2" x14ac:dyDescent="0.4">
      <c r="A549" s="1">
        <v>5.47</v>
      </c>
      <c r="B549" s="1">
        <f t="shared" si="8"/>
        <v>14.322288809999691</v>
      </c>
    </row>
    <row r="550" spans="1:2" x14ac:dyDescent="0.4">
      <c r="A550" s="1">
        <v>5.48</v>
      </c>
      <c r="B550" s="1">
        <f t="shared" si="8"/>
        <v>14.234652159999541</v>
      </c>
    </row>
    <row r="551" spans="1:2" x14ac:dyDescent="0.4">
      <c r="A551" s="1">
        <v>5.49</v>
      </c>
      <c r="B551" s="1">
        <f t="shared" si="8"/>
        <v>14.148044010000149</v>
      </c>
    </row>
    <row r="552" spans="1:2" x14ac:dyDescent="0.4">
      <c r="A552" s="1">
        <v>5.5</v>
      </c>
      <c r="B552" s="1">
        <f t="shared" si="8"/>
        <v>14.0625</v>
      </c>
    </row>
    <row r="553" spans="1:2" x14ac:dyDescent="0.4">
      <c r="A553" s="1">
        <v>5.51</v>
      </c>
      <c r="B553" s="1">
        <f t="shared" si="8"/>
        <v>13.978056010000273</v>
      </c>
    </row>
    <row r="554" spans="1:2" x14ac:dyDescent="0.4">
      <c r="A554" s="1">
        <v>5.52</v>
      </c>
      <c r="B554" s="1">
        <f t="shared" si="8"/>
        <v>13.894748159999608</v>
      </c>
    </row>
    <row r="555" spans="1:2" x14ac:dyDescent="0.4">
      <c r="A555" s="1">
        <v>5.53</v>
      </c>
      <c r="B555" s="1">
        <f t="shared" si="8"/>
        <v>13.812612809999564</v>
      </c>
    </row>
    <row r="556" spans="1:2" x14ac:dyDescent="0.4">
      <c r="A556" s="1">
        <v>5.54</v>
      </c>
      <c r="B556" s="1">
        <f t="shared" si="8"/>
        <v>13.731686560000071</v>
      </c>
    </row>
    <row r="557" spans="1:2" x14ac:dyDescent="0.4">
      <c r="A557" s="1">
        <v>5.55</v>
      </c>
      <c r="B557" s="1">
        <f t="shared" si="8"/>
        <v>13.652006250000113</v>
      </c>
    </row>
    <row r="558" spans="1:2" x14ac:dyDescent="0.4">
      <c r="A558" s="1">
        <v>5.56</v>
      </c>
      <c r="B558" s="1">
        <f t="shared" si="8"/>
        <v>13.573608959999774</v>
      </c>
    </row>
    <row r="559" spans="1:2" x14ac:dyDescent="0.4">
      <c r="A559" s="1">
        <v>5.57</v>
      </c>
      <c r="B559" s="1">
        <f t="shared" si="8"/>
        <v>13.496532009999783</v>
      </c>
    </row>
    <row r="560" spans="1:2" x14ac:dyDescent="0.4">
      <c r="A560" s="1">
        <v>5.58</v>
      </c>
      <c r="B560" s="1">
        <f t="shared" si="8"/>
        <v>13.420812959999921</v>
      </c>
    </row>
    <row r="561" spans="1:2" x14ac:dyDescent="0.4">
      <c r="A561" s="1">
        <v>5.59</v>
      </c>
      <c r="B561" s="1">
        <f t="shared" si="8"/>
        <v>13.346489609999935</v>
      </c>
    </row>
    <row r="562" spans="1:2" x14ac:dyDescent="0.4">
      <c r="A562" s="1">
        <v>5.6</v>
      </c>
      <c r="B562" s="1">
        <f t="shared" si="8"/>
        <v>13.273600000000215</v>
      </c>
    </row>
    <row r="563" spans="1:2" x14ac:dyDescent="0.4">
      <c r="A563" s="1">
        <v>5.61</v>
      </c>
      <c r="B563" s="1">
        <f t="shared" si="8"/>
        <v>13.202182410000205</v>
      </c>
    </row>
    <row r="564" spans="1:2" x14ac:dyDescent="0.4">
      <c r="A564" s="1">
        <v>5.62</v>
      </c>
      <c r="B564" s="1">
        <f t="shared" si="8"/>
        <v>13.132275359999994</v>
      </c>
    </row>
    <row r="565" spans="1:2" x14ac:dyDescent="0.4">
      <c r="A565" s="1">
        <v>5.63</v>
      </c>
      <c r="B565" s="1">
        <f t="shared" si="8"/>
        <v>13.063917609999862</v>
      </c>
    </row>
    <row r="566" spans="1:2" x14ac:dyDescent="0.4">
      <c r="A566" s="1">
        <v>5.64</v>
      </c>
      <c r="B566" s="1">
        <f t="shared" si="8"/>
        <v>12.997148160000052</v>
      </c>
    </row>
    <row r="567" spans="1:2" x14ac:dyDescent="0.4">
      <c r="A567" s="1">
        <v>5.65</v>
      </c>
      <c r="B567" s="1">
        <f t="shared" si="8"/>
        <v>12.932006250000086</v>
      </c>
    </row>
    <row r="568" spans="1:2" x14ac:dyDescent="0.4">
      <c r="A568" s="1">
        <v>5.66</v>
      </c>
      <c r="B568" s="1">
        <f t="shared" si="8"/>
        <v>12.868531359999906</v>
      </c>
    </row>
    <row r="569" spans="1:2" x14ac:dyDescent="0.4">
      <c r="A569" s="1">
        <v>5.67</v>
      </c>
      <c r="B569" s="1">
        <f t="shared" si="8"/>
        <v>12.806763209999644</v>
      </c>
    </row>
    <row r="570" spans="1:2" x14ac:dyDescent="0.4">
      <c r="A570" s="1">
        <v>5.68</v>
      </c>
      <c r="B570" s="1">
        <f t="shared" si="8"/>
        <v>12.74674175999985</v>
      </c>
    </row>
    <row r="571" spans="1:2" x14ac:dyDescent="0.4">
      <c r="A571" s="1">
        <v>5.69</v>
      </c>
      <c r="B571" s="1">
        <f t="shared" si="8"/>
        <v>12.688507210000125</v>
      </c>
    </row>
    <row r="572" spans="1:2" x14ac:dyDescent="0.4">
      <c r="A572" s="1">
        <v>5.7</v>
      </c>
      <c r="B572" s="1">
        <f t="shared" si="8"/>
        <v>12.632100000000264</v>
      </c>
    </row>
    <row r="573" spans="1:2" x14ac:dyDescent="0.4">
      <c r="A573" s="1">
        <v>5.71</v>
      </c>
      <c r="B573" s="1">
        <f t="shared" si="8"/>
        <v>12.577560809999795</v>
      </c>
    </row>
    <row r="574" spans="1:2" x14ac:dyDescent="0.4">
      <c r="A574" s="1">
        <v>5.72</v>
      </c>
      <c r="B574" s="1">
        <f t="shared" si="8"/>
        <v>12.524930559999802</v>
      </c>
    </row>
    <row r="575" spans="1:2" x14ac:dyDescent="0.4">
      <c r="A575" s="1">
        <v>5.73</v>
      </c>
      <c r="B575" s="1">
        <f t="shared" si="8"/>
        <v>12.474250409999513</v>
      </c>
    </row>
    <row r="576" spans="1:2" x14ac:dyDescent="0.4">
      <c r="A576" s="1">
        <v>5.74</v>
      </c>
      <c r="B576" s="1">
        <f t="shared" si="8"/>
        <v>12.425561760000164</v>
      </c>
    </row>
    <row r="577" spans="1:2" x14ac:dyDescent="0.4">
      <c r="A577" s="1">
        <v>5.75</v>
      </c>
      <c r="B577" s="1">
        <f t="shared" si="8"/>
        <v>12.37890625</v>
      </c>
    </row>
    <row r="578" spans="1:2" x14ac:dyDescent="0.4">
      <c r="A578" s="1">
        <v>5.76</v>
      </c>
      <c r="B578" s="1">
        <f t="shared" si="8"/>
        <v>12.334325760000183</v>
      </c>
    </row>
    <row r="579" spans="1:2" x14ac:dyDescent="0.4">
      <c r="A579" s="1">
        <v>5.77</v>
      </c>
      <c r="B579" s="1">
        <f t="shared" ref="B579:B642" si="9">A579^4-16*A579^3+88*A579^2-190*A579+144</f>
        <v>12.291862409999794</v>
      </c>
    </row>
    <row r="580" spans="1:2" x14ac:dyDescent="0.4">
      <c r="A580" s="1">
        <v>5.78</v>
      </c>
      <c r="B580" s="1">
        <f t="shared" si="9"/>
        <v>12.251558559999467</v>
      </c>
    </row>
    <row r="581" spans="1:2" x14ac:dyDescent="0.4">
      <c r="A581" s="1">
        <v>5.79</v>
      </c>
      <c r="B581" s="1">
        <f t="shared" si="9"/>
        <v>12.213456809999798</v>
      </c>
    </row>
    <row r="582" spans="1:2" x14ac:dyDescent="0.4">
      <c r="A582" s="1">
        <v>5.8</v>
      </c>
      <c r="B582" s="1">
        <f t="shared" si="9"/>
        <v>12.177600000000211</v>
      </c>
    </row>
    <row r="583" spans="1:2" x14ac:dyDescent="0.4">
      <c r="A583" s="1">
        <v>5.81</v>
      </c>
      <c r="B583" s="1">
        <f t="shared" si="9"/>
        <v>12.144031210000321</v>
      </c>
    </row>
    <row r="584" spans="1:2" x14ac:dyDescent="0.4">
      <c r="A584" s="1">
        <v>5.82</v>
      </c>
      <c r="B584" s="1">
        <f t="shared" si="9"/>
        <v>12.112793760000386</v>
      </c>
    </row>
    <row r="585" spans="1:2" x14ac:dyDescent="0.4">
      <c r="A585" s="1">
        <v>5.83</v>
      </c>
      <c r="B585" s="1">
        <f t="shared" si="9"/>
        <v>12.083931209999946</v>
      </c>
    </row>
    <row r="586" spans="1:2" x14ac:dyDescent="0.4">
      <c r="A586" s="1">
        <v>5.84</v>
      </c>
      <c r="B586" s="1">
        <f t="shared" si="9"/>
        <v>12.057487359999868</v>
      </c>
    </row>
    <row r="587" spans="1:2" x14ac:dyDescent="0.4">
      <c r="A587" s="1">
        <v>5.85</v>
      </c>
      <c r="B587" s="1">
        <f t="shared" si="9"/>
        <v>12.033506250000073</v>
      </c>
    </row>
    <row r="588" spans="1:2" x14ac:dyDescent="0.4">
      <c r="A588" s="1">
        <v>5.86</v>
      </c>
      <c r="B588" s="1">
        <f t="shared" si="9"/>
        <v>12.012032159999762</v>
      </c>
    </row>
    <row r="589" spans="1:2" x14ac:dyDescent="0.4">
      <c r="A589" s="1">
        <v>5.87</v>
      </c>
      <c r="B589" s="1">
        <f t="shared" si="9"/>
        <v>11.993109610000602</v>
      </c>
    </row>
    <row r="590" spans="1:2" x14ac:dyDescent="0.4">
      <c r="A590" s="1">
        <v>5.88</v>
      </c>
      <c r="B590" s="1">
        <f t="shared" si="9"/>
        <v>11.976783360000127</v>
      </c>
    </row>
    <row r="591" spans="1:2" x14ac:dyDescent="0.4">
      <c r="A591" s="1">
        <v>5.89</v>
      </c>
      <c r="B591" s="1">
        <f t="shared" si="9"/>
        <v>11.963098410000384</v>
      </c>
    </row>
    <row r="592" spans="1:2" x14ac:dyDescent="0.4">
      <c r="A592" s="1">
        <v>5.9</v>
      </c>
      <c r="B592" s="1">
        <f t="shared" si="9"/>
        <v>11.952099999999973</v>
      </c>
    </row>
    <row r="593" spans="1:2" x14ac:dyDescent="0.4">
      <c r="A593" s="1">
        <v>5.91</v>
      </c>
      <c r="B593" s="1">
        <f t="shared" si="9"/>
        <v>11.943833610000183</v>
      </c>
    </row>
    <row r="594" spans="1:2" x14ac:dyDescent="0.4">
      <c r="A594" s="1">
        <v>5.92</v>
      </c>
      <c r="B594" s="1">
        <f t="shared" si="9"/>
        <v>11.938344960000222</v>
      </c>
    </row>
    <row r="595" spans="1:2" x14ac:dyDescent="0.4">
      <c r="A595" s="1">
        <v>5.93</v>
      </c>
      <c r="B595" s="1">
        <f t="shared" si="9"/>
        <v>11.935680009999714</v>
      </c>
    </row>
    <row r="596" spans="1:2" x14ac:dyDescent="0.4">
      <c r="A596" s="1">
        <v>5.94</v>
      </c>
      <c r="B596" s="1">
        <f t="shared" si="9"/>
        <v>11.935884960000067</v>
      </c>
    </row>
    <row r="597" spans="1:2" x14ac:dyDescent="0.4">
      <c r="A597" s="1">
        <v>5.95</v>
      </c>
      <c r="B597" s="1">
        <f t="shared" si="9"/>
        <v>11.939006250000148</v>
      </c>
    </row>
    <row r="598" spans="1:2" x14ac:dyDescent="0.4">
      <c r="A598" s="1">
        <v>5.96</v>
      </c>
      <c r="B598" s="1">
        <f t="shared" si="9"/>
        <v>11.945090559999699</v>
      </c>
    </row>
    <row r="599" spans="1:2" x14ac:dyDescent="0.4">
      <c r="A599" s="1">
        <v>5.97</v>
      </c>
      <c r="B599" s="1">
        <f t="shared" si="9"/>
        <v>11.95418480999956</v>
      </c>
    </row>
    <row r="600" spans="1:2" x14ac:dyDescent="0.4">
      <c r="A600" s="1">
        <v>5.98</v>
      </c>
      <c r="B600" s="1">
        <f t="shared" si="9"/>
        <v>11.96633616000031</v>
      </c>
    </row>
    <row r="601" spans="1:2" x14ac:dyDescent="0.4">
      <c r="A601" s="1">
        <v>5.99</v>
      </c>
      <c r="B601" s="1">
        <f t="shared" si="9"/>
        <v>11.981592009999758</v>
      </c>
    </row>
    <row r="602" spans="1:2" x14ac:dyDescent="0.4">
      <c r="A602" s="1">
        <v>6</v>
      </c>
      <c r="B602" s="1">
        <f t="shared" si="9"/>
        <v>12</v>
      </c>
    </row>
    <row r="603" spans="1:2" x14ac:dyDescent="0.4">
      <c r="A603" s="1">
        <v>6.01</v>
      </c>
      <c r="B603" s="1">
        <f t="shared" si="9"/>
        <v>12.021608010000591</v>
      </c>
    </row>
    <row r="604" spans="1:2" x14ac:dyDescent="0.4">
      <c r="A604" s="1">
        <v>6.02</v>
      </c>
      <c r="B604" s="1">
        <f t="shared" si="9"/>
        <v>12.046464159999459</v>
      </c>
    </row>
    <row r="605" spans="1:2" x14ac:dyDescent="0.4">
      <c r="A605" s="1">
        <v>6.03</v>
      </c>
      <c r="B605" s="1">
        <f t="shared" si="9"/>
        <v>12.074616809999725</v>
      </c>
    </row>
    <row r="606" spans="1:2" x14ac:dyDescent="0.4">
      <c r="A606" s="1">
        <v>6.04</v>
      </c>
      <c r="B606" s="1">
        <f t="shared" si="9"/>
        <v>12.106114560000151</v>
      </c>
    </row>
    <row r="607" spans="1:2" x14ac:dyDescent="0.4">
      <c r="A607" s="1">
        <v>6.05</v>
      </c>
      <c r="B607" s="1">
        <f t="shared" si="9"/>
        <v>12.141006250000373</v>
      </c>
    </row>
    <row r="608" spans="1:2" x14ac:dyDescent="0.4">
      <c r="A608" s="1">
        <v>6.06</v>
      </c>
      <c r="B608" s="1">
        <f t="shared" si="9"/>
        <v>12.179340959999763</v>
      </c>
    </row>
    <row r="609" spans="1:2" x14ac:dyDescent="0.4">
      <c r="A609" s="1">
        <v>6.07</v>
      </c>
      <c r="B609" s="1">
        <f t="shared" si="9"/>
        <v>12.221168010000156</v>
      </c>
    </row>
    <row r="610" spans="1:2" x14ac:dyDescent="0.4">
      <c r="A610" s="1">
        <v>6.08</v>
      </c>
      <c r="B610" s="1">
        <f t="shared" si="9"/>
        <v>12.266536959999712</v>
      </c>
    </row>
    <row r="611" spans="1:2" x14ac:dyDescent="0.4">
      <c r="A611" s="1">
        <v>6.09</v>
      </c>
      <c r="B611" s="1">
        <f t="shared" si="9"/>
        <v>12.315497609999966</v>
      </c>
    </row>
    <row r="612" spans="1:2" x14ac:dyDescent="0.4">
      <c r="A612" s="1">
        <v>6.1</v>
      </c>
      <c r="B612" s="1">
        <f t="shared" si="9"/>
        <v>12.36810000000014</v>
      </c>
    </row>
    <row r="613" spans="1:2" x14ac:dyDescent="0.4">
      <c r="A613" s="1">
        <v>6.11</v>
      </c>
      <c r="B613" s="1">
        <f t="shared" si="9"/>
        <v>12.424394409999877</v>
      </c>
    </row>
    <row r="614" spans="1:2" x14ac:dyDescent="0.4">
      <c r="A614" s="1">
        <v>6.12</v>
      </c>
      <c r="B614" s="1">
        <f t="shared" si="9"/>
        <v>12.484431359999917</v>
      </c>
    </row>
    <row r="615" spans="1:2" x14ac:dyDescent="0.4">
      <c r="A615" s="1">
        <v>6.13</v>
      </c>
      <c r="B615" s="1">
        <f t="shared" si="9"/>
        <v>12.548261610000509</v>
      </c>
    </row>
    <row r="616" spans="1:2" x14ac:dyDescent="0.4">
      <c r="A616" s="1">
        <v>6.14</v>
      </c>
      <c r="B616" s="1">
        <f t="shared" si="9"/>
        <v>12.615936160000274</v>
      </c>
    </row>
    <row r="617" spans="1:2" x14ac:dyDescent="0.4">
      <c r="A617" s="1">
        <v>6.15</v>
      </c>
      <c r="B617" s="1">
        <f t="shared" si="9"/>
        <v>12.687506249999842</v>
      </c>
    </row>
    <row r="618" spans="1:2" x14ac:dyDescent="0.4">
      <c r="A618" s="1">
        <v>6.16</v>
      </c>
      <c r="B618" s="1">
        <f t="shared" si="9"/>
        <v>12.763023359999352</v>
      </c>
    </row>
    <row r="619" spans="1:2" x14ac:dyDescent="0.4">
      <c r="A619" s="1">
        <v>6.17</v>
      </c>
      <c r="B619" s="1">
        <f t="shared" si="9"/>
        <v>12.842539210000496</v>
      </c>
    </row>
    <row r="620" spans="1:2" x14ac:dyDescent="0.4">
      <c r="A620" s="1">
        <v>6.18</v>
      </c>
      <c r="B620" s="1">
        <f t="shared" si="9"/>
        <v>12.926105760000382</v>
      </c>
    </row>
    <row r="621" spans="1:2" x14ac:dyDescent="0.4">
      <c r="A621" s="1">
        <v>6.19</v>
      </c>
      <c r="B621" s="1">
        <f t="shared" si="9"/>
        <v>13.013775210000176</v>
      </c>
    </row>
    <row r="622" spans="1:2" x14ac:dyDescent="0.4">
      <c r="A622" s="1">
        <v>6.2</v>
      </c>
      <c r="B622" s="1">
        <f t="shared" si="9"/>
        <v>13.105599999999868</v>
      </c>
    </row>
    <row r="623" spans="1:2" x14ac:dyDescent="0.4">
      <c r="A623" s="1">
        <v>6.21</v>
      </c>
      <c r="B623" s="1">
        <f t="shared" si="9"/>
        <v>13.201632809999865</v>
      </c>
    </row>
    <row r="624" spans="1:2" x14ac:dyDescent="0.4">
      <c r="A624" s="1">
        <v>6.22</v>
      </c>
      <c r="B624" s="1">
        <f t="shared" si="9"/>
        <v>13.301926560000311</v>
      </c>
    </row>
    <row r="625" spans="1:2" x14ac:dyDescent="0.4">
      <c r="A625" s="1">
        <v>6.23</v>
      </c>
      <c r="B625" s="1">
        <f t="shared" si="9"/>
        <v>13.406534410000177</v>
      </c>
    </row>
    <row r="626" spans="1:2" x14ac:dyDescent="0.4">
      <c r="A626" s="1">
        <v>6.24</v>
      </c>
      <c r="B626" s="1">
        <f t="shared" si="9"/>
        <v>13.515509760000214</v>
      </c>
    </row>
    <row r="627" spans="1:2" x14ac:dyDescent="0.4">
      <c r="A627" s="1">
        <v>6.25</v>
      </c>
      <c r="B627" s="1">
        <f t="shared" si="9"/>
        <v>13.62890625</v>
      </c>
    </row>
    <row r="628" spans="1:2" x14ac:dyDescent="0.4">
      <c r="A628" s="1">
        <v>6.26</v>
      </c>
      <c r="B628" s="1">
        <f t="shared" si="9"/>
        <v>13.746777759999759</v>
      </c>
    </row>
    <row r="629" spans="1:2" x14ac:dyDescent="0.4">
      <c r="A629" s="1">
        <v>6.27</v>
      </c>
      <c r="B629" s="1">
        <f t="shared" si="9"/>
        <v>13.869178409999449</v>
      </c>
    </row>
    <row r="630" spans="1:2" x14ac:dyDescent="0.4">
      <c r="A630" s="1">
        <v>6.28</v>
      </c>
      <c r="B630" s="1">
        <f t="shared" si="9"/>
        <v>13.996162559999675</v>
      </c>
    </row>
    <row r="631" spans="1:2" x14ac:dyDescent="0.4">
      <c r="A631" s="1">
        <v>6.29</v>
      </c>
      <c r="B631" s="1">
        <f t="shared" si="9"/>
        <v>14.127784810000321</v>
      </c>
    </row>
    <row r="632" spans="1:2" x14ac:dyDescent="0.4">
      <c r="A632" s="1">
        <v>6.3</v>
      </c>
      <c r="B632" s="1">
        <f t="shared" si="9"/>
        <v>14.264099999999871</v>
      </c>
    </row>
    <row r="633" spans="1:2" x14ac:dyDescent="0.4">
      <c r="A633" s="1">
        <v>6.31</v>
      </c>
      <c r="B633" s="1">
        <f t="shared" si="9"/>
        <v>14.405163209999728</v>
      </c>
    </row>
    <row r="634" spans="1:2" x14ac:dyDescent="0.4">
      <c r="A634" s="1">
        <v>6.32</v>
      </c>
      <c r="B634" s="1">
        <f t="shared" si="9"/>
        <v>14.551029760000119</v>
      </c>
    </row>
    <row r="635" spans="1:2" x14ac:dyDescent="0.4">
      <c r="A635" s="1">
        <v>6.33</v>
      </c>
      <c r="B635" s="1">
        <f t="shared" si="9"/>
        <v>14.701755209999874</v>
      </c>
    </row>
    <row r="636" spans="1:2" x14ac:dyDescent="0.4">
      <c r="A636" s="1">
        <v>6.34</v>
      </c>
      <c r="B636" s="1">
        <f t="shared" si="9"/>
        <v>14.857395359999828</v>
      </c>
    </row>
    <row r="637" spans="1:2" x14ac:dyDescent="0.4">
      <c r="A637" s="1">
        <v>6.35</v>
      </c>
      <c r="B637" s="1">
        <f t="shared" si="9"/>
        <v>15.018006249999871</v>
      </c>
    </row>
    <row r="638" spans="1:2" x14ac:dyDescent="0.4">
      <c r="A638" s="1">
        <v>6.36</v>
      </c>
      <c r="B638" s="1">
        <f t="shared" si="9"/>
        <v>15.183644159999403</v>
      </c>
    </row>
    <row r="639" spans="1:2" x14ac:dyDescent="0.4">
      <c r="A639" s="1">
        <v>6.37</v>
      </c>
      <c r="B639" s="1">
        <f t="shared" si="9"/>
        <v>15.354365610000286</v>
      </c>
    </row>
    <row r="640" spans="1:2" x14ac:dyDescent="0.4">
      <c r="A640" s="1">
        <v>6.38</v>
      </c>
      <c r="B640" s="1">
        <f t="shared" si="9"/>
        <v>15.530227359999799</v>
      </c>
    </row>
    <row r="641" spans="1:2" x14ac:dyDescent="0.4">
      <c r="A641" s="1">
        <v>6.39</v>
      </c>
      <c r="B641" s="1">
        <f t="shared" si="9"/>
        <v>15.711286410000412</v>
      </c>
    </row>
    <row r="642" spans="1:2" x14ac:dyDescent="0.4">
      <c r="A642" s="1">
        <v>6.4</v>
      </c>
      <c r="B642" s="1">
        <f t="shared" si="9"/>
        <v>15.897600000000239</v>
      </c>
    </row>
    <row r="643" spans="1:2" x14ac:dyDescent="0.4">
      <c r="A643" s="1">
        <v>6.41</v>
      </c>
      <c r="B643" s="1">
        <f t="shared" ref="B643:B706" si="10">A643^4-16*A643^3+88*A643^2-190*A643+144</f>
        <v>16.089225610000085</v>
      </c>
    </row>
    <row r="644" spans="1:2" x14ac:dyDescent="0.4">
      <c r="A644" s="1">
        <v>6.42</v>
      </c>
      <c r="B644" s="1">
        <f t="shared" si="10"/>
        <v>16.286220960000037</v>
      </c>
    </row>
    <row r="645" spans="1:2" x14ac:dyDescent="0.4">
      <c r="A645" s="1">
        <v>6.43</v>
      </c>
      <c r="B645" s="1">
        <f t="shared" si="10"/>
        <v>16.488644010000144</v>
      </c>
    </row>
    <row r="646" spans="1:2" x14ac:dyDescent="0.4">
      <c r="A646" s="1">
        <v>6.44</v>
      </c>
      <c r="B646" s="1">
        <f t="shared" si="10"/>
        <v>16.696552959999508</v>
      </c>
    </row>
    <row r="647" spans="1:2" x14ac:dyDescent="0.4">
      <c r="A647" s="1">
        <v>6.45</v>
      </c>
      <c r="B647" s="1">
        <f t="shared" si="10"/>
        <v>16.910006250000151</v>
      </c>
    </row>
    <row r="648" spans="1:2" x14ac:dyDescent="0.4">
      <c r="A648" s="1">
        <v>6.46</v>
      </c>
      <c r="B648" s="1">
        <f t="shared" si="10"/>
        <v>17.129062559999966</v>
      </c>
    </row>
    <row r="649" spans="1:2" x14ac:dyDescent="0.4">
      <c r="A649" s="1">
        <v>6.47</v>
      </c>
      <c r="B649" s="1">
        <f t="shared" si="10"/>
        <v>17.353780809999307</v>
      </c>
    </row>
    <row r="650" spans="1:2" x14ac:dyDescent="0.4">
      <c r="A650" s="1">
        <v>6.48</v>
      </c>
      <c r="B650" s="1">
        <f t="shared" si="10"/>
        <v>17.584220160000086</v>
      </c>
    </row>
    <row r="651" spans="1:2" x14ac:dyDescent="0.4">
      <c r="A651" s="1">
        <v>6.49</v>
      </c>
      <c r="B651" s="1">
        <f t="shared" si="10"/>
        <v>17.820440009999629</v>
      </c>
    </row>
    <row r="652" spans="1:2" x14ac:dyDescent="0.4">
      <c r="A652" s="1">
        <v>6.5</v>
      </c>
      <c r="B652" s="1">
        <f t="shared" si="10"/>
        <v>18.0625</v>
      </c>
    </row>
    <row r="653" spans="1:2" x14ac:dyDescent="0.4">
      <c r="A653" s="1">
        <v>6.51</v>
      </c>
      <c r="B653" s="1">
        <f t="shared" si="10"/>
        <v>18.31046001000027</v>
      </c>
    </row>
    <row r="654" spans="1:2" x14ac:dyDescent="0.4">
      <c r="A654" s="1">
        <v>6.52</v>
      </c>
      <c r="B654" s="1">
        <f t="shared" si="10"/>
        <v>18.5643801599997</v>
      </c>
    </row>
    <row r="655" spans="1:2" x14ac:dyDescent="0.4">
      <c r="A655" s="1">
        <v>6.53</v>
      </c>
      <c r="B655" s="1">
        <f t="shared" si="10"/>
        <v>18.824320810000017</v>
      </c>
    </row>
    <row r="656" spans="1:2" x14ac:dyDescent="0.4">
      <c r="A656" s="1">
        <v>6.54</v>
      </c>
      <c r="B656" s="1">
        <f t="shared" si="10"/>
        <v>19.090342559999954</v>
      </c>
    </row>
    <row r="657" spans="1:2" x14ac:dyDescent="0.4">
      <c r="A657" s="1">
        <v>6.55</v>
      </c>
      <c r="B657" s="1">
        <f t="shared" si="10"/>
        <v>19.362506249999569</v>
      </c>
    </row>
    <row r="658" spans="1:2" x14ac:dyDescent="0.4">
      <c r="A658" s="1">
        <v>6.56</v>
      </c>
      <c r="B658" s="1">
        <f t="shared" si="10"/>
        <v>19.640872960000024</v>
      </c>
    </row>
    <row r="659" spans="1:2" x14ac:dyDescent="0.4">
      <c r="A659" s="1">
        <v>6.57</v>
      </c>
      <c r="B659" s="1">
        <f t="shared" si="10"/>
        <v>19.925504009999941</v>
      </c>
    </row>
    <row r="660" spans="1:2" x14ac:dyDescent="0.4">
      <c r="A660" s="1">
        <v>6.58</v>
      </c>
      <c r="B660" s="1">
        <f t="shared" si="10"/>
        <v>20.216460960000177</v>
      </c>
    </row>
    <row r="661" spans="1:2" x14ac:dyDescent="0.4">
      <c r="A661" s="1">
        <v>6.59</v>
      </c>
      <c r="B661" s="1">
        <f t="shared" si="10"/>
        <v>20.513805610000873</v>
      </c>
    </row>
    <row r="662" spans="1:2" x14ac:dyDescent="0.4">
      <c r="A662" s="1">
        <v>6.6</v>
      </c>
      <c r="B662" s="1">
        <f t="shared" si="10"/>
        <v>20.817599999999402</v>
      </c>
    </row>
    <row r="663" spans="1:2" x14ac:dyDescent="0.4">
      <c r="A663" s="1">
        <v>6.61</v>
      </c>
      <c r="B663" s="1">
        <f t="shared" si="10"/>
        <v>21.127906409999468</v>
      </c>
    </row>
    <row r="664" spans="1:2" x14ac:dyDescent="0.4">
      <c r="A664" s="1">
        <v>6.62</v>
      </c>
      <c r="B664" s="1">
        <f t="shared" si="10"/>
        <v>21.444787359999964</v>
      </c>
    </row>
    <row r="665" spans="1:2" x14ac:dyDescent="0.4">
      <c r="A665" s="1">
        <v>6.63</v>
      </c>
      <c r="B665" s="1">
        <f t="shared" si="10"/>
        <v>21.768305610000198</v>
      </c>
    </row>
    <row r="666" spans="1:2" x14ac:dyDescent="0.4">
      <c r="A666" s="1">
        <v>6.64</v>
      </c>
      <c r="B666" s="1">
        <f t="shared" si="10"/>
        <v>22.098524160000125</v>
      </c>
    </row>
    <row r="667" spans="1:2" x14ac:dyDescent="0.4">
      <c r="A667" s="1">
        <v>6.65</v>
      </c>
      <c r="B667" s="1">
        <f t="shared" si="10"/>
        <v>22.435506250000344</v>
      </c>
    </row>
    <row r="668" spans="1:2" x14ac:dyDescent="0.4">
      <c r="A668" s="1">
        <v>6.66</v>
      </c>
      <c r="B668" s="1">
        <f t="shared" si="10"/>
        <v>22.779315360000055</v>
      </c>
    </row>
    <row r="669" spans="1:2" x14ac:dyDescent="0.4">
      <c r="A669" s="1">
        <v>6.67</v>
      </c>
      <c r="B669" s="1">
        <f t="shared" si="10"/>
        <v>23.13001521000001</v>
      </c>
    </row>
    <row r="670" spans="1:2" x14ac:dyDescent="0.4">
      <c r="A670" s="1">
        <v>6.68</v>
      </c>
      <c r="B670" s="1">
        <f t="shared" si="10"/>
        <v>23.487669760000017</v>
      </c>
    </row>
    <row r="671" spans="1:2" x14ac:dyDescent="0.4">
      <c r="A671" s="1">
        <v>6.69</v>
      </c>
      <c r="B671" s="1">
        <f t="shared" si="10"/>
        <v>23.852343209999844</v>
      </c>
    </row>
    <row r="672" spans="1:2" x14ac:dyDescent="0.4">
      <c r="A672" s="1">
        <v>6.7</v>
      </c>
      <c r="B672" s="1">
        <f t="shared" si="10"/>
        <v>24.224099999999908</v>
      </c>
    </row>
    <row r="673" spans="1:2" x14ac:dyDescent="0.4">
      <c r="A673" s="1">
        <v>6.71</v>
      </c>
      <c r="B673" s="1">
        <f t="shared" si="10"/>
        <v>24.60300481000013</v>
      </c>
    </row>
    <row r="674" spans="1:2" x14ac:dyDescent="0.4">
      <c r="A674" s="1">
        <v>6.72</v>
      </c>
      <c r="B674" s="1">
        <f t="shared" si="10"/>
        <v>24.989122559999714</v>
      </c>
    </row>
    <row r="675" spans="1:2" x14ac:dyDescent="0.4">
      <c r="A675" s="1">
        <v>6.73</v>
      </c>
      <c r="B675" s="1">
        <f t="shared" si="10"/>
        <v>25.38251840999942</v>
      </c>
    </row>
    <row r="676" spans="1:2" x14ac:dyDescent="0.4">
      <c r="A676" s="1">
        <v>6.74</v>
      </c>
      <c r="B676" s="1">
        <f t="shared" si="10"/>
        <v>25.783257759999515</v>
      </c>
    </row>
    <row r="677" spans="1:2" x14ac:dyDescent="0.4">
      <c r="A677" s="1">
        <v>6.75</v>
      </c>
      <c r="B677" s="1">
        <f t="shared" si="10"/>
        <v>26.19140625</v>
      </c>
    </row>
    <row r="678" spans="1:2" x14ac:dyDescent="0.4">
      <c r="A678" s="1">
        <v>6.76</v>
      </c>
      <c r="B678" s="1">
        <f t="shared" si="10"/>
        <v>26.60702976000016</v>
      </c>
    </row>
    <row r="679" spans="1:2" x14ac:dyDescent="0.4">
      <c r="A679" s="1">
        <v>6.77</v>
      </c>
      <c r="B679" s="1">
        <f t="shared" si="10"/>
        <v>27.030194410000377</v>
      </c>
    </row>
    <row r="680" spans="1:2" x14ac:dyDescent="0.4">
      <c r="A680" s="1">
        <v>6.78</v>
      </c>
      <c r="B680" s="1">
        <f t="shared" si="10"/>
        <v>27.460966559999861</v>
      </c>
    </row>
    <row r="681" spans="1:2" x14ac:dyDescent="0.4">
      <c r="A681" s="1">
        <v>6.79</v>
      </c>
      <c r="B681" s="1">
        <f t="shared" si="10"/>
        <v>27.899412809999831</v>
      </c>
    </row>
    <row r="682" spans="1:2" x14ac:dyDescent="0.4">
      <c r="A682" s="1">
        <v>6.8</v>
      </c>
      <c r="B682" s="1">
        <f t="shared" si="10"/>
        <v>28.345599999999649</v>
      </c>
    </row>
    <row r="683" spans="1:2" x14ac:dyDescent="0.4">
      <c r="A683" s="1">
        <v>6.81</v>
      </c>
      <c r="B683" s="1">
        <f t="shared" si="10"/>
        <v>28.799595210000234</v>
      </c>
    </row>
    <row r="684" spans="1:2" x14ac:dyDescent="0.4">
      <c r="A684" s="1">
        <v>6.82</v>
      </c>
      <c r="B684" s="1">
        <f t="shared" si="10"/>
        <v>29.261465760000874</v>
      </c>
    </row>
    <row r="685" spans="1:2" x14ac:dyDescent="0.4">
      <c r="A685" s="1">
        <v>6.83</v>
      </c>
      <c r="B685" s="1">
        <f t="shared" si="10"/>
        <v>29.731279209999457</v>
      </c>
    </row>
    <row r="686" spans="1:2" x14ac:dyDescent="0.4">
      <c r="A686" s="1">
        <v>6.84</v>
      </c>
      <c r="B686" s="1">
        <f t="shared" si="10"/>
        <v>30.209103359999972</v>
      </c>
    </row>
    <row r="687" spans="1:2" x14ac:dyDescent="0.4">
      <c r="A687" s="1">
        <v>6.85</v>
      </c>
      <c r="B687" s="1">
        <f t="shared" si="10"/>
        <v>30.695006249999551</v>
      </c>
    </row>
    <row r="688" spans="1:2" x14ac:dyDescent="0.4">
      <c r="A688" s="1">
        <v>6.86</v>
      </c>
      <c r="B688" s="1">
        <f t="shared" si="10"/>
        <v>31.189056160000291</v>
      </c>
    </row>
    <row r="689" spans="1:2" x14ac:dyDescent="0.4">
      <c r="A689" s="1">
        <v>6.87</v>
      </c>
      <c r="B689" s="1">
        <f t="shared" si="10"/>
        <v>31.691321609999477</v>
      </c>
    </row>
    <row r="690" spans="1:2" x14ac:dyDescent="0.4">
      <c r="A690" s="1">
        <v>6.88</v>
      </c>
      <c r="B690" s="1">
        <f t="shared" si="10"/>
        <v>32.201871359998904</v>
      </c>
    </row>
    <row r="691" spans="1:2" x14ac:dyDescent="0.4">
      <c r="A691" s="1">
        <v>6.89</v>
      </c>
      <c r="B691" s="1">
        <f t="shared" si="10"/>
        <v>32.720774409999649</v>
      </c>
    </row>
    <row r="692" spans="1:2" x14ac:dyDescent="0.4">
      <c r="A692" s="1">
        <v>6.9</v>
      </c>
      <c r="B692" s="1">
        <f t="shared" si="10"/>
        <v>33.248099999999795</v>
      </c>
    </row>
    <row r="693" spans="1:2" x14ac:dyDescent="0.4">
      <c r="A693" s="1">
        <v>6.91</v>
      </c>
      <c r="B693" s="1">
        <f t="shared" si="10"/>
        <v>33.783917610000117</v>
      </c>
    </row>
    <row r="694" spans="1:2" x14ac:dyDescent="0.4">
      <c r="A694" s="1">
        <v>6.92</v>
      </c>
      <c r="B694" s="1">
        <f t="shared" si="10"/>
        <v>34.328296959999761</v>
      </c>
    </row>
    <row r="695" spans="1:2" x14ac:dyDescent="0.4">
      <c r="A695" s="1">
        <v>6.93</v>
      </c>
      <c r="B695" s="1">
        <f t="shared" si="10"/>
        <v>34.881308009999202</v>
      </c>
    </row>
    <row r="696" spans="1:2" x14ac:dyDescent="0.4">
      <c r="A696" s="1">
        <v>6.94</v>
      </c>
      <c r="B696" s="1">
        <f t="shared" si="10"/>
        <v>35.443020959999785</v>
      </c>
    </row>
    <row r="697" spans="1:2" x14ac:dyDescent="0.4">
      <c r="A697" s="1">
        <v>6.95</v>
      </c>
      <c r="B697" s="1">
        <f t="shared" si="10"/>
        <v>36.013506249999864</v>
      </c>
    </row>
    <row r="698" spans="1:2" x14ac:dyDescent="0.4">
      <c r="A698" s="1">
        <v>6.96</v>
      </c>
      <c r="B698" s="1">
        <f t="shared" si="10"/>
        <v>36.592834560000028</v>
      </c>
    </row>
    <row r="699" spans="1:2" x14ac:dyDescent="0.4">
      <c r="A699" s="1">
        <v>6.97</v>
      </c>
      <c r="B699" s="1">
        <f t="shared" si="10"/>
        <v>37.181076810000604</v>
      </c>
    </row>
    <row r="700" spans="1:2" x14ac:dyDescent="0.4">
      <c r="A700" s="1">
        <v>6.98</v>
      </c>
      <c r="B700" s="1">
        <f t="shared" si="10"/>
        <v>37.778304160000289</v>
      </c>
    </row>
    <row r="701" spans="1:2" x14ac:dyDescent="0.4">
      <c r="A701" s="1">
        <v>6.99</v>
      </c>
      <c r="B701" s="1">
        <f t="shared" si="10"/>
        <v>38.384588009999561</v>
      </c>
    </row>
    <row r="702" spans="1:2" x14ac:dyDescent="0.4">
      <c r="A702" s="1">
        <v>7</v>
      </c>
      <c r="B702" s="1">
        <f t="shared" si="10"/>
        <v>39</v>
      </c>
    </row>
    <row r="703" spans="1:2" x14ac:dyDescent="0.4">
      <c r="A703" s="1">
        <v>7.01</v>
      </c>
      <c r="B703" s="1">
        <f t="shared" si="10"/>
        <v>39.624612009999737</v>
      </c>
    </row>
    <row r="704" spans="1:2" x14ac:dyDescent="0.4">
      <c r="A704" s="1">
        <v>7.02</v>
      </c>
      <c r="B704" s="1">
        <f t="shared" si="10"/>
        <v>40.258496160000277</v>
      </c>
    </row>
    <row r="705" spans="1:2" x14ac:dyDescent="0.4">
      <c r="A705" s="1">
        <v>7.03</v>
      </c>
      <c r="B705" s="1">
        <f t="shared" si="10"/>
        <v>40.901724809999678</v>
      </c>
    </row>
    <row r="706" spans="1:2" x14ac:dyDescent="0.4">
      <c r="A706" s="1">
        <v>7.04</v>
      </c>
      <c r="B706" s="1">
        <f t="shared" si="10"/>
        <v>41.55437056000028</v>
      </c>
    </row>
    <row r="707" spans="1:2" x14ac:dyDescent="0.4">
      <c r="A707" s="1">
        <v>7.05</v>
      </c>
      <c r="B707" s="1">
        <f t="shared" ref="B707:B770" si="11">A707^4-16*A707^3+88*A707^2-190*A707+144</f>
        <v>42.216506249999838</v>
      </c>
    </row>
    <row r="708" spans="1:2" x14ac:dyDescent="0.4">
      <c r="A708" s="1">
        <v>7.06</v>
      </c>
      <c r="B708" s="1">
        <f t="shared" si="11"/>
        <v>42.888204959999939</v>
      </c>
    </row>
    <row r="709" spans="1:2" x14ac:dyDescent="0.4">
      <c r="A709" s="1">
        <v>7.07</v>
      </c>
      <c r="B709" s="1">
        <f t="shared" si="11"/>
        <v>43.569540010000537</v>
      </c>
    </row>
    <row r="710" spans="1:2" x14ac:dyDescent="0.4">
      <c r="A710" s="1">
        <v>7.08</v>
      </c>
      <c r="B710" s="1">
        <f t="shared" si="11"/>
        <v>44.260584959999733</v>
      </c>
    </row>
    <row r="711" spans="1:2" x14ac:dyDescent="0.4">
      <c r="A711" s="1">
        <v>7.09</v>
      </c>
      <c r="B711" s="1">
        <f t="shared" si="11"/>
        <v>44.961413609999454</v>
      </c>
    </row>
    <row r="712" spans="1:2" x14ac:dyDescent="0.4">
      <c r="A712" s="1">
        <v>7.1</v>
      </c>
      <c r="B712" s="1">
        <f t="shared" si="11"/>
        <v>45.672100000000682</v>
      </c>
    </row>
    <row r="713" spans="1:2" x14ac:dyDescent="0.4">
      <c r="A713" s="1">
        <v>7.11</v>
      </c>
      <c r="B713" s="1">
        <f t="shared" si="11"/>
        <v>46.392718409999816</v>
      </c>
    </row>
    <row r="714" spans="1:2" x14ac:dyDescent="0.4">
      <c r="A714" s="1">
        <v>7.12</v>
      </c>
      <c r="B714" s="1">
        <f t="shared" si="11"/>
        <v>47.123343360000263</v>
      </c>
    </row>
    <row r="715" spans="1:2" x14ac:dyDescent="0.4">
      <c r="A715" s="1">
        <v>7.13</v>
      </c>
      <c r="B715" s="1">
        <f t="shared" si="11"/>
        <v>47.864049610000848</v>
      </c>
    </row>
    <row r="716" spans="1:2" x14ac:dyDescent="0.4">
      <c r="A716" s="1">
        <v>7.14</v>
      </c>
      <c r="B716" s="1">
        <f t="shared" si="11"/>
        <v>48.614912160000131</v>
      </c>
    </row>
    <row r="717" spans="1:2" x14ac:dyDescent="0.4">
      <c r="A717" s="1">
        <v>7.15</v>
      </c>
      <c r="B717" s="1">
        <f t="shared" si="11"/>
        <v>49.376006250000046</v>
      </c>
    </row>
    <row r="718" spans="1:2" x14ac:dyDescent="0.4">
      <c r="A718" s="1">
        <v>7.16</v>
      </c>
      <c r="B718" s="1">
        <f t="shared" si="11"/>
        <v>50.147407360000216</v>
      </c>
    </row>
    <row r="719" spans="1:2" x14ac:dyDescent="0.4">
      <c r="A719" s="1">
        <v>7.17</v>
      </c>
      <c r="B719" s="1">
        <f t="shared" si="11"/>
        <v>50.929191209999544</v>
      </c>
    </row>
    <row r="720" spans="1:2" x14ac:dyDescent="0.4">
      <c r="A720" s="1">
        <v>7.18</v>
      </c>
      <c r="B720" s="1">
        <f t="shared" si="11"/>
        <v>51.721433760000082</v>
      </c>
    </row>
    <row r="721" spans="1:2" x14ac:dyDescent="0.4">
      <c r="A721" s="1">
        <v>7.19</v>
      </c>
      <c r="B721" s="1">
        <f t="shared" si="11"/>
        <v>52.524211210000203</v>
      </c>
    </row>
    <row r="722" spans="1:2" x14ac:dyDescent="0.4">
      <c r="A722" s="1">
        <v>7.2</v>
      </c>
      <c r="B722" s="1">
        <f t="shared" si="11"/>
        <v>53.337599999999838</v>
      </c>
    </row>
    <row r="723" spans="1:2" x14ac:dyDescent="0.4">
      <c r="A723" s="1">
        <v>7.21</v>
      </c>
      <c r="B723" s="1">
        <f t="shared" si="11"/>
        <v>54.16167680999979</v>
      </c>
    </row>
    <row r="724" spans="1:2" x14ac:dyDescent="0.4">
      <c r="A724" s="1">
        <v>7.22</v>
      </c>
      <c r="B724" s="1">
        <f t="shared" si="11"/>
        <v>54.99651856000014</v>
      </c>
    </row>
    <row r="725" spans="1:2" x14ac:dyDescent="0.4">
      <c r="A725" s="1">
        <v>7.23</v>
      </c>
      <c r="B725" s="1">
        <f t="shared" si="11"/>
        <v>55.842202410000709</v>
      </c>
    </row>
    <row r="726" spans="1:2" x14ac:dyDescent="0.4">
      <c r="A726" s="1">
        <v>7.24</v>
      </c>
      <c r="B726" s="1">
        <f t="shared" si="11"/>
        <v>56.698805760000369</v>
      </c>
    </row>
    <row r="727" spans="1:2" x14ac:dyDescent="0.4">
      <c r="A727" s="1">
        <v>7.25</v>
      </c>
      <c r="B727" s="1">
        <f t="shared" si="11"/>
        <v>57.56640625</v>
      </c>
    </row>
    <row r="728" spans="1:2" x14ac:dyDescent="0.4">
      <c r="A728" s="1">
        <v>7.26</v>
      </c>
      <c r="B728" s="1">
        <f t="shared" si="11"/>
        <v>58.445081760000221</v>
      </c>
    </row>
    <row r="729" spans="1:2" x14ac:dyDescent="0.4">
      <c r="A729" s="1">
        <v>7.27</v>
      </c>
      <c r="B729" s="1">
        <f t="shared" si="11"/>
        <v>59.334910409999566</v>
      </c>
    </row>
    <row r="730" spans="1:2" x14ac:dyDescent="0.4">
      <c r="A730" s="1">
        <v>7.28</v>
      </c>
      <c r="B730" s="1">
        <f t="shared" si="11"/>
        <v>60.235970560000396</v>
      </c>
    </row>
    <row r="731" spans="1:2" x14ac:dyDescent="0.4">
      <c r="A731" s="1">
        <v>7.29</v>
      </c>
      <c r="B731" s="1">
        <f t="shared" si="11"/>
        <v>61.148340809999809</v>
      </c>
    </row>
    <row r="732" spans="1:2" x14ac:dyDescent="0.4">
      <c r="A732" s="1">
        <v>7.3</v>
      </c>
      <c r="B732" s="1">
        <f t="shared" si="11"/>
        <v>62.072099999999409</v>
      </c>
    </row>
    <row r="733" spans="1:2" x14ac:dyDescent="0.4">
      <c r="A733" s="1">
        <v>7.31</v>
      </c>
      <c r="B733" s="1">
        <f t="shared" si="11"/>
        <v>63.007327210000994</v>
      </c>
    </row>
    <row r="734" spans="1:2" x14ac:dyDescent="0.4">
      <c r="A734" s="1">
        <v>7.32</v>
      </c>
      <c r="B734" s="1">
        <f t="shared" si="11"/>
        <v>63.95410176000064</v>
      </c>
    </row>
    <row r="735" spans="1:2" x14ac:dyDescent="0.4">
      <c r="A735" s="1">
        <v>7.33</v>
      </c>
      <c r="B735" s="1">
        <f t="shared" si="11"/>
        <v>64.912503209999841</v>
      </c>
    </row>
    <row r="736" spans="1:2" x14ac:dyDescent="0.4">
      <c r="A736" s="1">
        <v>7.34</v>
      </c>
      <c r="B736" s="1">
        <f t="shared" si="11"/>
        <v>65.882611359999828</v>
      </c>
    </row>
    <row r="737" spans="1:2" x14ac:dyDescent="0.4">
      <c r="A737" s="1">
        <v>7.35</v>
      </c>
      <c r="B737" s="1">
        <f t="shared" si="11"/>
        <v>66.864506249999522</v>
      </c>
    </row>
    <row r="738" spans="1:2" x14ac:dyDescent="0.4">
      <c r="A738" s="1">
        <v>7.36</v>
      </c>
      <c r="B738" s="1">
        <f t="shared" si="11"/>
        <v>67.858268160000534</v>
      </c>
    </row>
    <row r="739" spans="1:2" x14ac:dyDescent="0.4">
      <c r="A739" s="1">
        <v>7.37</v>
      </c>
      <c r="B739" s="1">
        <f t="shared" si="11"/>
        <v>68.86397761000012</v>
      </c>
    </row>
    <row r="740" spans="1:2" x14ac:dyDescent="0.4">
      <c r="A740" s="1">
        <v>7.38</v>
      </c>
      <c r="B740" s="1">
        <f t="shared" si="11"/>
        <v>69.881715359999589</v>
      </c>
    </row>
    <row r="741" spans="1:2" x14ac:dyDescent="0.4">
      <c r="A741" s="1">
        <v>7.39</v>
      </c>
      <c r="B741" s="1">
        <f t="shared" si="11"/>
        <v>70.911562409999533</v>
      </c>
    </row>
    <row r="742" spans="1:2" x14ac:dyDescent="0.4">
      <c r="A742" s="1">
        <v>7.4</v>
      </c>
      <c r="B742" s="1">
        <f t="shared" si="11"/>
        <v>71.953599999999824</v>
      </c>
    </row>
    <row r="743" spans="1:2" x14ac:dyDescent="0.4">
      <c r="A743" s="1">
        <v>7.41</v>
      </c>
      <c r="B743" s="1">
        <f t="shared" si="11"/>
        <v>73.007909609999842</v>
      </c>
    </row>
    <row r="744" spans="1:2" x14ac:dyDescent="0.4">
      <c r="A744" s="1">
        <v>7.42</v>
      </c>
      <c r="B744" s="1">
        <f t="shared" si="11"/>
        <v>74.074572960000069</v>
      </c>
    </row>
    <row r="745" spans="1:2" x14ac:dyDescent="0.4">
      <c r="A745" s="1">
        <v>7.43</v>
      </c>
      <c r="B745" s="1">
        <f t="shared" si="11"/>
        <v>75.153672009999582</v>
      </c>
    </row>
    <row r="746" spans="1:2" x14ac:dyDescent="0.4">
      <c r="A746" s="1">
        <v>7.44</v>
      </c>
      <c r="B746" s="1">
        <f t="shared" si="11"/>
        <v>76.245288960000607</v>
      </c>
    </row>
    <row r="747" spans="1:2" x14ac:dyDescent="0.4">
      <c r="A747" s="1">
        <v>7.45</v>
      </c>
      <c r="B747" s="1">
        <f t="shared" si="11"/>
        <v>77.349506249999649</v>
      </c>
    </row>
    <row r="748" spans="1:2" x14ac:dyDescent="0.4">
      <c r="A748" s="1">
        <v>7.46</v>
      </c>
      <c r="B748" s="1">
        <f t="shared" si="11"/>
        <v>78.466406559999996</v>
      </c>
    </row>
    <row r="749" spans="1:2" x14ac:dyDescent="0.4">
      <c r="A749" s="1">
        <v>7.47</v>
      </c>
      <c r="B749" s="1">
        <f t="shared" si="11"/>
        <v>79.596072809999669</v>
      </c>
    </row>
    <row r="750" spans="1:2" x14ac:dyDescent="0.4">
      <c r="A750" s="1">
        <v>7.48</v>
      </c>
      <c r="B750" s="1">
        <f t="shared" si="11"/>
        <v>80.738588160000063</v>
      </c>
    </row>
    <row r="751" spans="1:2" x14ac:dyDescent="0.4">
      <c r="A751" s="1">
        <v>7.49</v>
      </c>
      <c r="B751" s="1">
        <f t="shared" si="11"/>
        <v>81.894036010000264</v>
      </c>
    </row>
    <row r="752" spans="1:2" x14ac:dyDescent="0.4">
      <c r="A752" s="1">
        <v>7.5</v>
      </c>
      <c r="B752" s="1">
        <f t="shared" si="11"/>
        <v>83.0625</v>
      </c>
    </row>
    <row r="753" spans="1:2" x14ac:dyDescent="0.4">
      <c r="A753" s="1">
        <v>7.51</v>
      </c>
      <c r="B753" s="1">
        <f t="shared" si="11"/>
        <v>84.244064009999647</v>
      </c>
    </row>
    <row r="754" spans="1:2" x14ac:dyDescent="0.4">
      <c r="A754" s="1">
        <v>7.52</v>
      </c>
      <c r="B754" s="1">
        <f t="shared" si="11"/>
        <v>85.43881216000068</v>
      </c>
    </row>
    <row r="755" spans="1:2" x14ac:dyDescent="0.4">
      <c r="A755" s="1">
        <v>7.53</v>
      </c>
      <c r="B755" s="1">
        <f t="shared" si="11"/>
        <v>86.64682881000067</v>
      </c>
    </row>
    <row r="756" spans="1:2" x14ac:dyDescent="0.4">
      <c r="A756" s="1">
        <v>7.54</v>
      </c>
      <c r="B756" s="1">
        <f t="shared" si="11"/>
        <v>87.8681985599992</v>
      </c>
    </row>
    <row r="757" spans="1:2" x14ac:dyDescent="0.4">
      <c r="A757" s="1">
        <v>7.55</v>
      </c>
      <c r="B757" s="1">
        <f t="shared" si="11"/>
        <v>89.103006249999908</v>
      </c>
    </row>
    <row r="758" spans="1:2" x14ac:dyDescent="0.4">
      <c r="A758" s="1">
        <v>7.56</v>
      </c>
      <c r="B758" s="1">
        <f t="shared" si="11"/>
        <v>90.351336959999344</v>
      </c>
    </row>
    <row r="759" spans="1:2" x14ac:dyDescent="0.4">
      <c r="A759" s="1">
        <v>7.57</v>
      </c>
      <c r="B759" s="1">
        <f t="shared" si="11"/>
        <v>91.613276010000163</v>
      </c>
    </row>
    <row r="760" spans="1:2" x14ac:dyDescent="0.4">
      <c r="A760" s="1">
        <v>7.58</v>
      </c>
      <c r="B760" s="1">
        <f t="shared" si="11"/>
        <v>92.888908959999981</v>
      </c>
    </row>
    <row r="761" spans="1:2" x14ac:dyDescent="0.4">
      <c r="A761" s="1">
        <v>7.59</v>
      </c>
      <c r="B761" s="1">
        <f t="shared" si="11"/>
        <v>94.178321610000694</v>
      </c>
    </row>
    <row r="762" spans="1:2" x14ac:dyDescent="0.4">
      <c r="A762" s="1">
        <v>7.6</v>
      </c>
      <c r="B762" s="1">
        <f t="shared" si="11"/>
        <v>95.481600000000981</v>
      </c>
    </row>
    <row r="763" spans="1:2" x14ac:dyDescent="0.4">
      <c r="A763" s="1">
        <v>7.61</v>
      </c>
      <c r="B763" s="1">
        <f t="shared" si="11"/>
        <v>96.798830409999482</v>
      </c>
    </row>
    <row r="764" spans="1:2" x14ac:dyDescent="0.4">
      <c r="A764" s="1">
        <v>7.62</v>
      </c>
      <c r="B764" s="1">
        <f t="shared" si="11"/>
        <v>98.130099359999576</v>
      </c>
    </row>
    <row r="765" spans="1:2" x14ac:dyDescent="0.4">
      <c r="A765" s="1">
        <v>7.63</v>
      </c>
      <c r="B765" s="1">
        <f t="shared" si="11"/>
        <v>99.475493610000058</v>
      </c>
    </row>
    <row r="766" spans="1:2" x14ac:dyDescent="0.4">
      <c r="A766" s="1">
        <v>7.64</v>
      </c>
      <c r="B766" s="1">
        <f t="shared" si="11"/>
        <v>100.83510016000037</v>
      </c>
    </row>
    <row r="767" spans="1:2" x14ac:dyDescent="0.4">
      <c r="A767" s="1">
        <v>7.65</v>
      </c>
      <c r="B767" s="1">
        <f t="shared" si="11"/>
        <v>102.20900625000013</v>
      </c>
    </row>
    <row r="768" spans="1:2" x14ac:dyDescent="0.4">
      <c r="A768" s="1">
        <v>7.66</v>
      </c>
      <c r="B768" s="1">
        <f t="shared" si="11"/>
        <v>103.59729935999985</v>
      </c>
    </row>
    <row r="769" spans="1:2" x14ac:dyDescent="0.4">
      <c r="A769" s="1">
        <v>7.67</v>
      </c>
      <c r="B769" s="1">
        <f t="shared" si="11"/>
        <v>105.00006721000022</v>
      </c>
    </row>
    <row r="770" spans="1:2" x14ac:dyDescent="0.4">
      <c r="A770" s="1">
        <v>7.68</v>
      </c>
      <c r="B770" s="1">
        <f t="shared" si="11"/>
        <v>106.41739775999963</v>
      </c>
    </row>
    <row r="771" spans="1:2" x14ac:dyDescent="0.4">
      <c r="A771" s="1">
        <v>7.69</v>
      </c>
      <c r="B771" s="1">
        <f t="shared" ref="B771:B834" si="12">A771^4-16*A771^3+88*A771^2-190*A771+144</f>
        <v>107.8493792099996</v>
      </c>
    </row>
    <row r="772" spans="1:2" x14ac:dyDescent="0.4">
      <c r="A772" s="1">
        <v>7.7</v>
      </c>
      <c r="B772" s="1">
        <f t="shared" si="12"/>
        <v>109.29610000000002</v>
      </c>
    </row>
    <row r="773" spans="1:2" x14ac:dyDescent="0.4">
      <c r="A773" s="1">
        <v>7.71</v>
      </c>
      <c r="B773" s="1">
        <f t="shared" si="12"/>
        <v>110.75764880999941</v>
      </c>
    </row>
    <row r="774" spans="1:2" x14ac:dyDescent="0.4">
      <c r="A774" s="1">
        <v>7.72</v>
      </c>
      <c r="B774" s="1">
        <f t="shared" si="12"/>
        <v>112.23411456000053</v>
      </c>
    </row>
    <row r="775" spans="1:2" x14ac:dyDescent="0.4">
      <c r="A775" s="1">
        <v>7.73</v>
      </c>
      <c r="B775" s="1">
        <f t="shared" si="12"/>
        <v>113.72558640999955</v>
      </c>
    </row>
    <row r="776" spans="1:2" x14ac:dyDescent="0.4">
      <c r="A776" s="1">
        <v>7.74</v>
      </c>
      <c r="B776" s="1">
        <f t="shared" si="12"/>
        <v>115.23215375999939</v>
      </c>
    </row>
    <row r="777" spans="1:2" x14ac:dyDescent="0.4">
      <c r="A777" s="1">
        <v>7.75</v>
      </c>
      <c r="B777" s="1">
        <f t="shared" si="12"/>
        <v>116.75390625</v>
      </c>
    </row>
    <row r="778" spans="1:2" x14ac:dyDescent="0.4">
      <c r="A778" s="1">
        <v>7.76</v>
      </c>
      <c r="B778" s="1">
        <f t="shared" si="12"/>
        <v>118.29093376000014</v>
      </c>
    </row>
    <row r="779" spans="1:2" x14ac:dyDescent="0.4">
      <c r="A779" s="1">
        <v>7.77</v>
      </c>
      <c r="B779" s="1">
        <f t="shared" si="12"/>
        <v>119.84332640999969</v>
      </c>
    </row>
    <row r="780" spans="1:2" x14ac:dyDescent="0.4">
      <c r="A780" s="1">
        <v>7.78</v>
      </c>
      <c r="B780" s="1">
        <f t="shared" si="12"/>
        <v>121.41117455999961</v>
      </c>
    </row>
    <row r="781" spans="1:2" x14ac:dyDescent="0.4">
      <c r="A781" s="1">
        <v>7.79</v>
      </c>
      <c r="B781" s="1">
        <f t="shared" si="12"/>
        <v>122.99456881000015</v>
      </c>
    </row>
    <row r="782" spans="1:2" x14ac:dyDescent="0.4">
      <c r="A782" s="1">
        <v>7.8</v>
      </c>
      <c r="B782" s="1">
        <f t="shared" si="12"/>
        <v>124.59360000000015</v>
      </c>
    </row>
    <row r="783" spans="1:2" x14ac:dyDescent="0.4">
      <c r="A783" s="1">
        <v>7.81</v>
      </c>
      <c r="B783" s="1">
        <f t="shared" si="12"/>
        <v>126.20835920999957</v>
      </c>
    </row>
    <row r="784" spans="1:2" x14ac:dyDescent="0.4">
      <c r="A784" s="1">
        <v>7.82</v>
      </c>
      <c r="B784" s="1">
        <f t="shared" si="12"/>
        <v>127.83893776000036</v>
      </c>
    </row>
    <row r="785" spans="1:2" x14ac:dyDescent="0.4">
      <c r="A785" s="1">
        <v>7.83</v>
      </c>
      <c r="B785" s="1">
        <f t="shared" si="12"/>
        <v>129.4854272099999</v>
      </c>
    </row>
    <row r="786" spans="1:2" x14ac:dyDescent="0.4">
      <c r="A786" s="1">
        <v>7.84</v>
      </c>
      <c r="B786" s="1">
        <f t="shared" si="12"/>
        <v>131.14791935999983</v>
      </c>
    </row>
    <row r="787" spans="1:2" x14ac:dyDescent="0.4">
      <c r="A787" s="1">
        <v>7.85</v>
      </c>
      <c r="B787" s="1">
        <f t="shared" si="12"/>
        <v>132.82650624999997</v>
      </c>
    </row>
    <row r="788" spans="1:2" x14ac:dyDescent="0.4">
      <c r="A788" s="1">
        <v>7.86</v>
      </c>
      <c r="B788" s="1">
        <f t="shared" si="12"/>
        <v>134.52128015999961</v>
      </c>
    </row>
    <row r="789" spans="1:2" x14ac:dyDescent="0.4">
      <c r="A789" s="1">
        <v>7.87</v>
      </c>
      <c r="B789" s="1">
        <f t="shared" si="12"/>
        <v>136.23233361000098</v>
      </c>
    </row>
    <row r="790" spans="1:2" x14ac:dyDescent="0.4">
      <c r="A790" s="1">
        <v>7.88</v>
      </c>
      <c r="B790" s="1">
        <f t="shared" si="12"/>
        <v>137.95975935999991</v>
      </c>
    </row>
    <row r="791" spans="1:2" x14ac:dyDescent="0.4">
      <c r="A791" s="1">
        <v>7.89</v>
      </c>
      <c r="B791" s="1">
        <f t="shared" si="12"/>
        <v>139.70365040999923</v>
      </c>
    </row>
    <row r="792" spans="1:2" x14ac:dyDescent="0.4">
      <c r="A792" s="1">
        <v>7.9</v>
      </c>
      <c r="B792" s="1">
        <f t="shared" si="12"/>
        <v>141.46409999999969</v>
      </c>
    </row>
    <row r="793" spans="1:2" x14ac:dyDescent="0.4">
      <c r="A793" s="1">
        <v>7.91</v>
      </c>
      <c r="B793" s="1">
        <f t="shared" si="12"/>
        <v>143.24120160999973</v>
      </c>
    </row>
    <row r="794" spans="1:2" x14ac:dyDescent="0.4">
      <c r="A794" s="1">
        <v>7.92</v>
      </c>
      <c r="B794" s="1">
        <f t="shared" si="12"/>
        <v>145.03504896000072</v>
      </c>
    </row>
    <row r="795" spans="1:2" x14ac:dyDescent="0.4">
      <c r="A795" s="1">
        <v>7.93</v>
      </c>
      <c r="B795" s="1">
        <f t="shared" si="12"/>
        <v>146.84573600999988</v>
      </c>
    </row>
    <row r="796" spans="1:2" x14ac:dyDescent="0.4">
      <c r="A796" s="1">
        <v>7.94</v>
      </c>
      <c r="B796" s="1">
        <f t="shared" si="12"/>
        <v>148.67335695999941</v>
      </c>
    </row>
    <row r="797" spans="1:2" x14ac:dyDescent="0.4">
      <c r="A797" s="1">
        <v>7.95</v>
      </c>
      <c r="B797" s="1">
        <f t="shared" si="12"/>
        <v>150.51800624999942</v>
      </c>
    </row>
    <row r="798" spans="1:2" x14ac:dyDescent="0.4">
      <c r="A798" s="1">
        <v>7.96</v>
      </c>
      <c r="B798" s="1">
        <f t="shared" si="12"/>
        <v>152.37977856000043</v>
      </c>
    </row>
    <row r="799" spans="1:2" x14ac:dyDescent="0.4">
      <c r="A799" s="1">
        <v>7.97</v>
      </c>
      <c r="B799" s="1">
        <f t="shared" si="12"/>
        <v>154.25876880999999</v>
      </c>
    </row>
    <row r="800" spans="1:2" x14ac:dyDescent="0.4">
      <c r="A800" s="1">
        <v>7.98</v>
      </c>
      <c r="B800" s="1">
        <f t="shared" si="12"/>
        <v>156.15507215999992</v>
      </c>
    </row>
    <row r="801" spans="1:2" x14ac:dyDescent="0.4">
      <c r="A801" s="1">
        <v>7.99</v>
      </c>
      <c r="B801" s="1">
        <f t="shared" si="12"/>
        <v>158.06878401000017</v>
      </c>
    </row>
    <row r="802" spans="1:2" x14ac:dyDescent="0.4">
      <c r="A802" s="1">
        <v>8</v>
      </c>
      <c r="B802" s="1">
        <f t="shared" si="12"/>
        <v>160</v>
      </c>
    </row>
    <row r="803" spans="1:2" x14ac:dyDescent="0.4">
      <c r="A803" s="1">
        <v>8.01</v>
      </c>
      <c r="B803" s="1">
        <f t="shared" si="12"/>
        <v>161.94881600999884</v>
      </c>
    </row>
    <row r="804" spans="1:2" x14ac:dyDescent="0.4">
      <c r="A804" s="1">
        <v>8.02</v>
      </c>
      <c r="B804" s="1">
        <f t="shared" si="12"/>
        <v>163.9153281600004</v>
      </c>
    </row>
    <row r="805" spans="1:2" x14ac:dyDescent="0.4">
      <c r="A805" s="1">
        <v>8.0299999999999994</v>
      </c>
      <c r="B805" s="1">
        <f t="shared" si="12"/>
        <v>165.89963281000018</v>
      </c>
    </row>
    <row r="806" spans="1:2" x14ac:dyDescent="0.4">
      <c r="A806" s="1">
        <v>8.0399999999999991</v>
      </c>
      <c r="B806" s="1">
        <f t="shared" si="12"/>
        <v>167.90182655999934</v>
      </c>
    </row>
    <row r="807" spans="1:2" x14ac:dyDescent="0.4">
      <c r="A807" s="1">
        <v>8.0500000000000007</v>
      </c>
      <c r="B807" s="1">
        <f t="shared" si="12"/>
        <v>169.92200624999964</v>
      </c>
    </row>
    <row r="808" spans="1:2" x14ac:dyDescent="0.4">
      <c r="A808" s="1">
        <v>8.06</v>
      </c>
      <c r="B808" s="1">
        <f t="shared" si="12"/>
        <v>171.96026896000012</v>
      </c>
    </row>
    <row r="809" spans="1:2" x14ac:dyDescent="0.4">
      <c r="A809" s="1">
        <v>8.07</v>
      </c>
      <c r="B809" s="1">
        <f t="shared" si="12"/>
        <v>174.01671201000067</v>
      </c>
    </row>
    <row r="810" spans="1:2" x14ac:dyDescent="0.4">
      <c r="A810" s="1">
        <v>8.08</v>
      </c>
      <c r="B810" s="1">
        <f t="shared" si="12"/>
        <v>176.0914329600007</v>
      </c>
    </row>
    <row r="811" spans="1:2" x14ac:dyDescent="0.4">
      <c r="A811" s="1">
        <v>8.09</v>
      </c>
      <c r="B811" s="1">
        <f t="shared" si="12"/>
        <v>178.18452961000048</v>
      </c>
    </row>
    <row r="812" spans="1:2" x14ac:dyDescent="0.4">
      <c r="A812" s="1">
        <v>8.1</v>
      </c>
      <c r="B812" s="1">
        <f t="shared" si="12"/>
        <v>180.29610000000139</v>
      </c>
    </row>
    <row r="813" spans="1:2" x14ac:dyDescent="0.4">
      <c r="A813" s="1">
        <v>8.11</v>
      </c>
      <c r="B813" s="1">
        <f t="shared" si="12"/>
        <v>182.42624241000044</v>
      </c>
    </row>
    <row r="814" spans="1:2" x14ac:dyDescent="0.4">
      <c r="A814" s="1">
        <v>8.1199999999999992</v>
      </c>
      <c r="B814" s="1">
        <f t="shared" si="12"/>
        <v>184.5750553599994</v>
      </c>
    </row>
    <row r="815" spans="1:2" x14ac:dyDescent="0.4">
      <c r="A815" s="1">
        <v>8.1300000000000008</v>
      </c>
      <c r="B815" s="1">
        <f t="shared" si="12"/>
        <v>186.74263760999997</v>
      </c>
    </row>
    <row r="816" spans="1:2" x14ac:dyDescent="0.4">
      <c r="A816" s="1">
        <v>8.14</v>
      </c>
      <c r="B816" s="1">
        <f t="shared" si="12"/>
        <v>188.92908816000113</v>
      </c>
    </row>
    <row r="817" spans="1:2" x14ac:dyDescent="0.4">
      <c r="A817" s="1">
        <v>8.15</v>
      </c>
      <c r="B817" s="1">
        <f t="shared" si="12"/>
        <v>191.1345062499995</v>
      </c>
    </row>
    <row r="818" spans="1:2" x14ac:dyDescent="0.4">
      <c r="A818" s="1">
        <v>8.16</v>
      </c>
      <c r="B818" s="1">
        <f t="shared" si="12"/>
        <v>193.35899136000035</v>
      </c>
    </row>
    <row r="819" spans="1:2" x14ac:dyDescent="0.4">
      <c r="A819" s="1">
        <v>8.17</v>
      </c>
      <c r="B819" s="1">
        <f t="shared" si="12"/>
        <v>195.60264320999909</v>
      </c>
    </row>
    <row r="820" spans="1:2" x14ac:dyDescent="0.4">
      <c r="A820" s="1">
        <v>8.18</v>
      </c>
      <c r="B820" s="1">
        <f t="shared" si="12"/>
        <v>197.86556176000045</v>
      </c>
    </row>
    <row r="821" spans="1:2" x14ac:dyDescent="0.4">
      <c r="A821" s="1">
        <v>8.19</v>
      </c>
      <c r="B821" s="1">
        <f t="shared" si="12"/>
        <v>200.14784720999933</v>
      </c>
    </row>
    <row r="822" spans="1:2" x14ac:dyDescent="0.4">
      <c r="A822" s="1">
        <v>8.1999999999999993</v>
      </c>
      <c r="B822" s="1">
        <f t="shared" si="12"/>
        <v>202.44960000000015</v>
      </c>
    </row>
    <row r="823" spans="1:2" x14ac:dyDescent="0.4">
      <c r="A823" s="1">
        <v>8.2100000000000009</v>
      </c>
      <c r="B823" s="1">
        <f t="shared" si="12"/>
        <v>204.77092081000001</v>
      </c>
    </row>
    <row r="824" spans="1:2" x14ac:dyDescent="0.4">
      <c r="A824" s="1">
        <v>8.2200000000000006</v>
      </c>
      <c r="B824" s="1">
        <f t="shared" si="12"/>
        <v>207.11191056000007</v>
      </c>
    </row>
    <row r="825" spans="1:2" x14ac:dyDescent="0.4">
      <c r="A825" s="1">
        <v>8.23</v>
      </c>
      <c r="B825" s="1">
        <f t="shared" si="12"/>
        <v>209.47267041000009</v>
      </c>
    </row>
    <row r="826" spans="1:2" x14ac:dyDescent="0.4">
      <c r="A826" s="1">
        <v>8.24</v>
      </c>
      <c r="B826" s="1">
        <f t="shared" si="12"/>
        <v>211.85330175999957</v>
      </c>
    </row>
    <row r="827" spans="1:2" x14ac:dyDescent="0.4">
      <c r="A827" s="1">
        <v>8.25</v>
      </c>
      <c r="B827" s="1">
        <f t="shared" si="12"/>
        <v>214.25390625</v>
      </c>
    </row>
    <row r="828" spans="1:2" x14ac:dyDescent="0.4">
      <c r="A828" s="1">
        <v>8.26</v>
      </c>
      <c r="B828" s="1">
        <f t="shared" si="12"/>
        <v>216.67458576000149</v>
      </c>
    </row>
    <row r="829" spans="1:2" x14ac:dyDescent="0.4">
      <c r="A829" s="1">
        <v>8.27</v>
      </c>
      <c r="B829" s="1">
        <f t="shared" si="12"/>
        <v>219.11544240999888</v>
      </c>
    </row>
    <row r="830" spans="1:2" x14ac:dyDescent="0.4">
      <c r="A830" s="1">
        <v>8.2799999999999994</v>
      </c>
      <c r="B830" s="1">
        <f t="shared" si="12"/>
        <v>221.5765785600006</v>
      </c>
    </row>
    <row r="831" spans="1:2" x14ac:dyDescent="0.4">
      <c r="A831" s="1">
        <v>8.2899999999999991</v>
      </c>
      <c r="B831" s="1">
        <f t="shared" si="12"/>
        <v>224.05809680999982</v>
      </c>
    </row>
    <row r="832" spans="1:2" x14ac:dyDescent="0.4">
      <c r="A832" s="1">
        <v>8.3000000000000007</v>
      </c>
      <c r="B832" s="1">
        <f t="shared" si="12"/>
        <v>226.56010000000128</v>
      </c>
    </row>
    <row r="833" spans="1:2" x14ac:dyDescent="0.4">
      <c r="A833" s="1">
        <v>8.31</v>
      </c>
      <c r="B833" s="1">
        <f t="shared" si="12"/>
        <v>229.08269121000058</v>
      </c>
    </row>
    <row r="834" spans="1:2" x14ac:dyDescent="0.4">
      <c r="A834" s="1">
        <v>8.32</v>
      </c>
      <c r="B834" s="1">
        <f t="shared" si="12"/>
        <v>231.62597376000053</v>
      </c>
    </row>
    <row r="835" spans="1:2" x14ac:dyDescent="0.4">
      <c r="A835" s="1">
        <v>8.33</v>
      </c>
      <c r="B835" s="1">
        <f t="shared" ref="B835:B898" si="13">A835^4-16*A835^3+88*A835^2-190*A835+144</f>
        <v>234.19005121000077</v>
      </c>
    </row>
    <row r="836" spans="1:2" x14ac:dyDescent="0.4">
      <c r="A836" s="1">
        <v>8.34</v>
      </c>
      <c r="B836" s="1">
        <f t="shared" si="13"/>
        <v>236.77502735999906</v>
      </c>
    </row>
    <row r="837" spans="1:2" x14ac:dyDescent="0.4">
      <c r="A837" s="1">
        <v>8.35</v>
      </c>
      <c r="B837" s="1">
        <f t="shared" si="13"/>
        <v>239.3810062499997</v>
      </c>
    </row>
    <row r="838" spans="1:2" x14ac:dyDescent="0.4">
      <c r="A838" s="1">
        <v>8.36</v>
      </c>
      <c r="B838" s="1">
        <f t="shared" si="13"/>
        <v>242.00809215999811</v>
      </c>
    </row>
    <row r="839" spans="1:2" x14ac:dyDescent="0.4">
      <c r="A839" s="1">
        <v>8.3699999999999992</v>
      </c>
      <c r="B839" s="1">
        <f t="shared" si="13"/>
        <v>244.656389609999</v>
      </c>
    </row>
    <row r="840" spans="1:2" x14ac:dyDescent="0.4">
      <c r="A840" s="1">
        <v>8.3800000000000008</v>
      </c>
      <c r="B840" s="1">
        <f t="shared" si="13"/>
        <v>247.32600336000064</v>
      </c>
    </row>
    <row r="841" spans="1:2" x14ac:dyDescent="0.4">
      <c r="A841" s="1">
        <v>8.39</v>
      </c>
      <c r="B841" s="1">
        <f t="shared" si="13"/>
        <v>250.0170384100004</v>
      </c>
    </row>
    <row r="842" spans="1:2" x14ac:dyDescent="0.4">
      <c r="A842" s="1">
        <v>8.4</v>
      </c>
      <c r="B842" s="1">
        <f t="shared" si="13"/>
        <v>252.72959999999966</v>
      </c>
    </row>
    <row r="843" spans="1:2" x14ac:dyDescent="0.4">
      <c r="A843" s="1">
        <v>8.41</v>
      </c>
      <c r="B843" s="1">
        <f t="shared" si="13"/>
        <v>255.46379361000027</v>
      </c>
    </row>
    <row r="844" spans="1:2" x14ac:dyDescent="0.4">
      <c r="A844" s="1">
        <v>8.42</v>
      </c>
      <c r="B844" s="1">
        <f t="shared" si="13"/>
        <v>258.21972496000058</v>
      </c>
    </row>
    <row r="845" spans="1:2" x14ac:dyDescent="0.4">
      <c r="A845" s="1">
        <v>8.43</v>
      </c>
      <c r="B845" s="1">
        <f t="shared" si="13"/>
        <v>260.99750000999916</v>
      </c>
    </row>
    <row r="846" spans="1:2" x14ac:dyDescent="0.4">
      <c r="A846" s="1">
        <v>8.44</v>
      </c>
      <c r="B846" s="1">
        <f t="shared" si="13"/>
        <v>263.79722496000022</v>
      </c>
    </row>
    <row r="847" spans="1:2" x14ac:dyDescent="0.4">
      <c r="A847" s="1">
        <v>8.4499999999999993</v>
      </c>
      <c r="B847" s="1">
        <f t="shared" si="13"/>
        <v>266.6190062499993</v>
      </c>
    </row>
    <row r="848" spans="1:2" x14ac:dyDescent="0.4">
      <c r="A848" s="1">
        <v>8.4600000000000009</v>
      </c>
      <c r="B848" s="1">
        <f t="shared" si="13"/>
        <v>269.46295056000099</v>
      </c>
    </row>
    <row r="849" spans="1:2" x14ac:dyDescent="0.4">
      <c r="A849" s="1">
        <v>8.4700000000000006</v>
      </c>
      <c r="B849" s="1">
        <f t="shared" si="13"/>
        <v>272.32916480999938</v>
      </c>
    </row>
    <row r="850" spans="1:2" x14ac:dyDescent="0.4">
      <c r="A850" s="1">
        <v>8.48</v>
      </c>
      <c r="B850" s="1">
        <f t="shared" si="13"/>
        <v>275.21775615999991</v>
      </c>
    </row>
    <row r="851" spans="1:2" x14ac:dyDescent="0.4">
      <c r="A851" s="1">
        <v>8.49</v>
      </c>
      <c r="B851" s="1">
        <f t="shared" si="13"/>
        <v>278.12883201000045</v>
      </c>
    </row>
    <row r="852" spans="1:2" x14ac:dyDescent="0.4">
      <c r="A852" s="1">
        <v>8.5</v>
      </c>
      <c r="B852" s="1">
        <f t="shared" si="13"/>
        <v>281.0625</v>
      </c>
    </row>
    <row r="853" spans="1:2" x14ac:dyDescent="0.4">
      <c r="A853" s="1">
        <v>8.51</v>
      </c>
      <c r="B853" s="1">
        <f t="shared" si="13"/>
        <v>284.01886800999887</v>
      </c>
    </row>
    <row r="854" spans="1:2" x14ac:dyDescent="0.4">
      <c r="A854" s="1">
        <v>8.52</v>
      </c>
      <c r="B854" s="1">
        <f t="shared" si="13"/>
        <v>286.99804415999938</v>
      </c>
    </row>
    <row r="855" spans="1:2" x14ac:dyDescent="0.4">
      <c r="A855" s="1">
        <v>8.5299999999999994</v>
      </c>
      <c r="B855" s="1">
        <f t="shared" si="13"/>
        <v>290.00013681000019</v>
      </c>
    </row>
    <row r="856" spans="1:2" x14ac:dyDescent="0.4">
      <c r="A856" s="1">
        <v>8.5399999999999991</v>
      </c>
      <c r="B856" s="1">
        <f t="shared" si="13"/>
        <v>293.02525456000103</v>
      </c>
    </row>
    <row r="857" spans="1:2" x14ac:dyDescent="0.4">
      <c r="A857" s="1">
        <v>8.5500000000000007</v>
      </c>
      <c r="B857" s="1">
        <f t="shared" si="13"/>
        <v>296.07350624999867</v>
      </c>
    </row>
    <row r="858" spans="1:2" x14ac:dyDescent="0.4">
      <c r="A858" s="1">
        <v>8.56</v>
      </c>
      <c r="B858" s="1">
        <f t="shared" si="13"/>
        <v>299.14500095999892</v>
      </c>
    </row>
    <row r="859" spans="1:2" x14ac:dyDescent="0.4">
      <c r="A859" s="1">
        <v>8.57</v>
      </c>
      <c r="B859" s="1">
        <f t="shared" si="13"/>
        <v>302.23984800999938</v>
      </c>
    </row>
    <row r="860" spans="1:2" x14ac:dyDescent="0.4">
      <c r="A860" s="1">
        <v>8.58</v>
      </c>
      <c r="B860" s="1">
        <f t="shared" si="13"/>
        <v>305.35815696000077</v>
      </c>
    </row>
    <row r="861" spans="1:2" x14ac:dyDescent="0.4">
      <c r="A861" s="1">
        <v>8.59</v>
      </c>
      <c r="B861" s="1">
        <f t="shared" si="13"/>
        <v>308.50003760999925</v>
      </c>
    </row>
    <row r="862" spans="1:2" x14ac:dyDescent="0.4">
      <c r="A862" s="1">
        <v>8.6</v>
      </c>
      <c r="B862" s="1">
        <f t="shared" si="13"/>
        <v>311.66560000000027</v>
      </c>
    </row>
    <row r="863" spans="1:2" x14ac:dyDescent="0.4">
      <c r="A863" s="1">
        <v>8.61</v>
      </c>
      <c r="B863" s="1">
        <f t="shared" si="13"/>
        <v>314.85495441000126</v>
      </c>
    </row>
    <row r="864" spans="1:2" x14ac:dyDescent="0.4">
      <c r="A864" s="1">
        <v>8.6199999999999992</v>
      </c>
      <c r="B864" s="1">
        <f t="shared" si="13"/>
        <v>318.06821135999894</v>
      </c>
    </row>
    <row r="865" spans="1:2" x14ac:dyDescent="0.4">
      <c r="A865" s="1">
        <v>8.6300000000000008</v>
      </c>
      <c r="B865" s="1">
        <f t="shared" si="13"/>
        <v>321.30548161000002</v>
      </c>
    </row>
    <row r="866" spans="1:2" x14ac:dyDescent="0.4">
      <c r="A866" s="1">
        <v>8.64</v>
      </c>
      <c r="B866" s="1">
        <f t="shared" si="13"/>
        <v>324.56687616000022</v>
      </c>
    </row>
    <row r="867" spans="1:2" x14ac:dyDescent="0.4">
      <c r="A867" s="1">
        <v>8.65</v>
      </c>
      <c r="B867" s="1">
        <f t="shared" si="13"/>
        <v>327.85250624999935</v>
      </c>
    </row>
    <row r="868" spans="1:2" x14ac:dyDescent="0.4">
      <c r="A868" s="1">
        <v>8.66</v>
      </c>
      <c r="B868" s="1">
        <f t="shared" si="13"/>
        <v>331.16248335999853</v>
      </c>
    </row>
    <row r="869" spans="1:2" x14ac:dyDescent="0.4">
      <c r="A869" s="1">
        <v>8.67</v>
      </c>
      <c r="B869" s="1">
        <f t="shared" si="13"/>
        <v>334.49691920999999</v>
      </c>
    </row>
    <row r="870" spans="1:2" x14ac:dyDescent="0.4">
      <c r="A870" s="1">
        <v>8.68</v>
      </c>
      <c r="B870" s="1">
        <f t="shared" si="13"/>
        <v>337.85592575999885</v>
      </c>
    </row>
    <row r="871" spans="1:2" x14ac:dyDescent="0.4">
      <c r="A871" s="1">
        <v>8.69</v>
      </c>
      <c r="B871" s="1">
        <f t="shared" si="13"/>
        <v>341.23961520999956</v>
      </c>
    </row>
    <row r="872" spans="1:2" x14ac:dyDescent="0.4">
      <c r="A872" s="1">
        <v>8.6999999999999993</v>
      </c>
      <c r="B872" s="1">
        <f t="shared" si="13"/>
        <v>344.64809999999875</v>
      </c>
    </row>
    <row r="873" spans="1:2" x14ac:dyDescent="0.4">
      <c r="A873" s="1">
        <v>8.7100000000000009</v>
      </c>
      <c r="B873" s="1">
        <f t="shared" si="13"/>
        <v>348.08149281000033</v>
      </c>
    </row>
    <row r="874" spans="1:2" x14ac:dyDescent="0.4">
      <c r="A874" s="1">
        <v>8.7200000000000006</v>
      </c>
      <c r="B874" s="1">
        <f t="shared" si="13"/>
        <v>351.53990656000042</v>
      </c>
    </row>
    <row r="875" spans="1:2" x14ac:dyDescent="0.4">
      <c r="A875" s="1">
        <v>8.73</v>
      </c>
      <c r="B875" s="1">
        <f t="shared" si="13"/>
        <v>355.0234544099992</v>
      </c>
    </row>
    <row r="876" spans="1:2" x14ac:dyDescent="0.4">
      <c r="A876" s="1">
        <v>8.74</v>
      </c>
      <c r="B876" s="1">
        <f t="shared" si="13"/>
        <v>358.53224976000024</v>
      </c>
    </row>
    <row r="877" spans="1:2" x14ac:dyDescent="0.4">
      <c r="A877" s="1">
        <v>8.75</v>
      </c>
      <c r="B877" s="1">
        <f t="shared" si="13"/>
        <v>362.06640625</v>
      </c>
    </row>
    <row r="878" spans="1:2" x14ac:dyDescent="0.4">
      <c r="A878" s="1">
        <v>8.76</v>
      </c>
      <c r="B878" s="1">
        <f t="shared" si="13"/>
        <v>365.62603776000083</v>
      </c>
    </row>
    <row r="879" spans="1:2" x14ac:dyDescent="0.4">
      <c r="A879" s="1">
        <v>8.77</v>
      </c>
      <c r="B879" s="1">
        <f t="shared" si="13"/>
        <v>369.21125840999889</v>
      </c>
    </row>
    <row r="880" spans="1:2" x14ac:dyDescent="0.4">
      <c r="A880" s="1">
        <v>8.7799999999999994</v>
      </c>
      <c r="B880" s="1">
        <f t="shared" si="13"/>
        <v>372.82218256000033</v>
      </c>
    </row>
    <row r="881" spans="1:2" x14ac:dyDescent="0.4">
      <c r="A881" s="1">
        <v>8.7899999999999991</v>
      </c>
      <c r="B881" s="1">
        <f t="shared" si="13"/>
        <v>376.45892481000055</v>
      </c>
    </row>
    <row r="882" spans="1:2" x14ac:dyDescent="0.4">
      <c r="A882" s="1">
        <v>8.8000000000000007</v>
      </c>
      <c r="B882" s="1">
        <f t="shared" si="13"/>
        <v>380.12159999999926</v>
      </c>
    </row>
    <row r="883" spans="1:2" x14ac:dyDescent="0.4">
      <c r="A883" s="1">
        <v>8.81</v>
      </c>
      <c r="B883" s="1">
        <f t="shared" si="13"/>
        <v>383.81032320999975</v>
      </c>
    </row>
    <row r="884" spans="1:2" x14ac:dyDescent="0.4">
      <c r="A884" s="1">
        <v>8.82</v>
      </c>
      <c r="B884" s="1">
        <f t="shared" si="13"/>
        <v>387.52520976000073</v>
      </c>
    </row>
    <row r="885" spans="1:2" x14ac:dyDescent="0.4">
      <c r="A885" s="1">
        <v>8.83</v>
      </c>
      <c r="B885" s="1">
        <f t="shared" si="13"/>
        <v>391.26637520999952</v>
      </c>
    </row>
    <row r="886" spans="1:2" x14ac:dyDescent="0.4">
      <c r="A886" s="1">
        <v>8.84</v>
      </c>
      <c r="B886" s="1">
        <f t="shared" si="13"/>
        <v>395.03393536000067</v>
      </c>
    </row>
    <row r="887" spans="1:2" x14ac:dyDescent="0.4">
      <c r="A887" s="1">
        <v>8.85</v>
      </c>
      <c r="B887" s="1">
        <f t="shared" si="13"/>
        <v>398.82800624999891</v>
      </c>
    </row>
    <row r="888" spans="1:2" x14ac:dyDescent="0.4">
      <c r="A888" s="1">
        <v>8.86</v>
      </c>
      <c r="B888" s="1">
        <f t="shared" si="13"/>
        <v>402.64870415999917</v>
      </c>
    </row>
    <row r="889" spans="1:2" x14ac:dyDescent="0.4">
      <c r="A889" s="1">
        <v>8.8699999999999992</v>
      </c>
      <c r="B889" s="1">
        <f t="shared" si="13"/>
        <v>406.4961456099993</v>
      </c>
    </row>
    <row r="890" spans="1:2" x14ac:dyDescent="0.4">
      <c r="A890" s="1">
        <v>8.8800000000000008</v>
      </c>
      <c r="B890" s="1">
        <f t="shared" si="13"/>
        <v>410.37044736000075</v>
      </c>
    </row>
    <row r="891" spans="1:2" x14ac:dyDescent="0.4">
      <c r="A891" s="1">
        <v>8.89</v>
      </c>
      <c r="B891" s="1">
        <f t="shared" si="13"/>
        <v>414.27172641000129</v>
      </c>
    </row>
    <row r="892" spans="1:2" x14ac:dyDescent="0.4">
      <c r="A892" s="1">
        <v>8.9</v>
      </c>
      <c r="B892" s="1">
        <f t="shared" si="13"/>
        <v>418.20010000000093</v>
      </c>
    </row>
    <row r="893" spans="1:2" x14ac:dyDescent="0.4">
      <c r="A893" s="1">
        <v>8.91</v>
      </c>
      <c r="B893" s="1">
        <f t="shared" si="13"/>
        <v>422.15568561000009</v>
      </c>
    </row>
    <row r="894" spans="1:2" x14ac:dyDescent="0.4">
      <c r="A894" s="1">
        <v>8.92</v>
      </c>
      <c r="B894" s="1">
        <f t="shared" si="13"/>
        <v>426.1386009600003</v>
      </c>
    </row>
    <row r="895" spans="1:2" x14ac:dyDescent="0.4">
      <c r="A895" s="1">
        <v>8.93</v>
      </c>
      <c r="B895" s="1">
        <f t="shared" si="13"/>
        <v>430.14896401000055</v>
      </c>
    </row>
    <row r="896" spans="1:2" x14ac:dyDescent="0.4">
      <c r="A896" s="1">
        <v>8.94</v>
      </c>
      <c r="B896" s="1">
        <f t="shared" si="13"/>
        <v>434.18689296000093</v>
      </c>
    </row>
    <row r="897" spans="1:2" x14ac:dyDescent="0.4">
      <c r="A897" s="1">
        <v>8.9499999999999993</v>
      </c>
      <c r="B897" s="1">
        <f t="shared" si="13"/>
        <v>438.25250625000012</v>
      </c>
    </row>
    <row r="898" spans="1:2" x14ac:dyDescent="0.4">
      <c r="A898" s="1">
        <v>8.9600000000000009</v>
      </c>
      <c r="B898" s="1">
        <f t="shared" si="13"/>
        <v>442.34592255999951</v>
      </c>
    </row>
    <row r="899" spans="1:2" x14ac:dyDescent="0.4">
      <c r="A899" s="1">
        <v>8.9700000000000006</v>
      </c>
      <c r="B899" s="1">
        <f t="shared" ref="B899:B962" si="14">A899^4-16*A899^3+88*A899^2-190*A899+144</f>
        <v>446.46726080999997</v>
      </c>
    </row>
    <row r="900" spans="1:2" x14ac:dyDescent="0.4">
      <c r="A900" s="1">
        <v>8.98</v>
      </c>
      <c r="B900" s="1">
        <f t="shared" si="14"/>
        <v>450.616640160001</v>
      </c>
    </row>
    <row r="901" spans="1:2" x14ac:dyDescent="0.4">
      <c r="A901" s="1">
        <v>8.99</v>
      </c>
      <c r="B901" s="1">
        <f t="shared" si="14"/>
        <v>454.79418001000181</v>
      </c>
    </row>
    <row r="902" spans="1:2" x14ac:dyDescent="0.4">
      <c r="A902" s="1">
        <v>9</v>
      </c>
      <c r="B902" s="1">
        <f t="shared" si="14"/>
        <v>459</v>
      </c>
    </row>
    <row r="903" spans="1:2" x14ac:dyDescent="0.4">
      <c r="A903" s="1">
        <v>9.01</v>
      </c>
      <c r="B903" s="1">
        <f t="shared" si="14"/>
        <v>463.23422000999994</v>
      </c>
    </row>
    <row r="904" spans="1:2" x14ac:dyDescent="0.4">
      <c r="A904" s="1">
        <v>9.02</v>
      </c>
      <c r="B904" s="1">
        <f t="shared" si="14"/>
        <v>467.49696016000075</v>
      </c>
    </row>
    <row r="905" spans="1:2" x14ac:dyDescent="0.4">
      <c r="A905" s="1">
        <v>9.0299999999999994</v>
      </c>
      <c r="B905" s="1">
        <f t="shared" si="14"/>
        <v>471.78834080999968</v>
      </c>
    </row>
    <row r="906" spans="1:2" x14ac:dyDescent="0.4">
      <c r="A906" s="1">
        <v>9.0399999999999991</v>
      </c>
      <c r="B906" s="1">
        <f t="shared" si="14"/>
        <v>476.10848255999963</v>
      </c>
    </row>
    <row r="907" spans="1:2" x14ac:dyDescent="0.4">
      <c r="A907" s="1">
        <v>9.0500000000000007</v>
      </c>
      <c r="B907" s="1">
        <f t="shared" si="14"/>
        <v>480.45750625000051</v>
      </c>
    </row>
    <row r="908" spans="1:2" x14ac:dyDescent="0.4">
      <c r="A908" s="1">
        <v>9.06</v>
      </c>
      <c r="B908" s="1">
        <f t="shared" si="14"/>
        <v>484.83553295999945</v>
      </c>
    </row>
    <row r="909" spans="1:2" x14ac:dyDescent="0.4">
      <c r="A909" s="1">
        <v>9.07</v>
      </c>
      <c r="B909" s="1">
        <f t="shared" si="14"/>
        <v>489.24268401000086</v>
      </c>
    </row>
    <row r="910" spans="1:2" x14ac:dyDescent="0.4">
      <c r="A910" s="1">
        <v>9.08</v>
      </c>
      <c r="B910" s="1">
        <f t="shared" si="14"/>
        <v>493.67908096000042</v>
      </c>
    </row>
    <row r="911" spans="1:2" x14ac:dyDescent="0.4">
      <c r="A911" s="1">
        <v>9.09</v>
      </c>
      <c r="B911" s="1">
        <f t="shared" si="14"/>
        <v>498.14484561000108</v>
      </c>
    </row>
    <row r="912" spans="1:2" x14ac:dyDescent="0.4">
      <c r="A912" s="1">
        <v>9.1</v>
      </c>
      <c r="B912" s="1">
        <f t="shared" si="14"/>
        <v>502.64009999999871</v>
      </c>
    </row>
    <row r="913" spans="1:2" x14ac:dyDescent="0.4">
      <c r="A913" s="1">
        <v>9.11</v>
      </c>
      <c r="B913" s="1">
        <f t="shared" si="14"/>
        <v>507.16496641000026</v>
      </c>
    </row>
    <row r="914" spans="1:2" x14ac:dyDescent="0.4">
      <c r="A914" s="1">
        <v>9.1199999999999992</v>
      </c>
      <c r="B914" s="1">
        <f t="shared" si="14"/>
        <v>511.71956736000016</v>
      </c>
    </row>
    <row r="915" spans="1:2" x14ac:dyDescent="0.4">
      <c r="A915" s="1">
        <v>9.1300000000000008</v>
      </c>
      <c r="B915" s="1">
        <f t="shared" si="14"/>
        <v>516.30402561000005</v>
      </c>
    </row>
    <row r="916" spans="1:2" x14ac:dyDescent="0.4">
      <c r="A916" s="1">
        <v>9.14</v>
      </c>
      <c r="B916" s="1">
        <f t="shared" si="14"/>
        <v>520.91846415999885</v>
      </c>
    </row>
    <row r="917" spans="1:2" x14ac:dyDescent="0.4">
      <c r="A917" s="1">
        <v>9.15</v>
      </c>
      <c r="B917" s="1">
        <f t="shared" si="14"/>
        <v>525.5630062500004</v>
      </c>
    </row>
    <row r="918" spans="1:2" x14ac:dyDescent="0.4">
      <c r="A918" s="1">
        <v>9.16</v>
      </c>
      <c r="B918" s="1">
        <f t="shared" si="14"/>
        <v>530.23777535999989</v>
      </c>
    </row>
    <row r="919" spans="1:2" x14ac:dyDescent="0.4">
      <c r="A919" s="1">
        <v>9.17</v>
      </c>
      <c r="B919" s="1">
        <f t="shared" si="14"/>
        <v>534.94289520999996</v>
      </c>
    </row>
    <row r="920" spans="1:2" x14ac:dyDescent="0.4">
      <c r="A920" s="1">
        <v>9.18</v>
      </c>
      <c r="B920" s="1">
        <f t="shared" si="14"/>
        <v>539.67848975999891</v>
      </c>
    </row>
    <row r="921" spans="1:2" x14ac:dyDescent="0.4">
      <c r="A921" s="1">
        <v>9.19</v>
      </c>
      <c r="B921" s="1">
        <f t="shared" si="14"/>
        <v>544.44468320999977</v>
      </c>
    </row>
    <row r="922" spans="1:2" x14ac:dyDescent="0.4">
      <c r="A922" s="1">
        <v>9.1999999999999993</v>
      </c>
      <c r="B922" s="1">
        <f t="shared" si="14"/>
        <v>549.24160000000052</v>
      </c>
    </row>
    <row r="923" spans="1:2" x14ac:dyDescent="0.4">
      <c r="A923" s="1">
        <v>9.2100000000000009</v>
      </c>
      <c r="B923" s="1">
        <f t="shared" si="14"/>
        <v>554.06936481000002</v>
      </c>
    </row>
    <row r="924" spans="1:2" x14ac:dyDescent="0.4">
      <c r="A924" s="1">
        <v>9.2200000000000006</v>
      </c>
      <c r="B924" s="1">
        <f t="shared" si="14"/>
        <v>558.92810255999939</v>
      </c>
    </row>
    <row r="925" spans="1:2" x14ac:dyDescent="0.4">
      <c r="A925" s="1">
        <v>9.23</v>
      </c>
      <c r="B925" s="1">
        <f t="shared" si="14"/>
        <v>563.81793841000012</v>
      </c>
    </row>
    <row r="926" spans="1:2" x14ac:dyDescent="0.4">
      <c r="A926" s="1">
        <v>9.24</v>
      </c>
      <c r="B926" s="1">
        <f t="shared" si="14"/>
        <v>568.73899775999894</v>
      </c>
    </row>
    <row r="927" spans="1:2" x14ac:dyDescent="0.4">
      <c r="A927" s="1">
        <v>9.25</v>
      </c>
      <c r="B927" s="1">
        <f t="shared" si="14"/>
        <v>573.69140625</v>
      </c>
    </row>
    <row r="928" spans="1:2" x14ac:dyDescent="0.4">
      <c r="A928" s="1">
        <v>9.26</v>
      </c>
      <c r="B928" s="1">
        <f t="shared" si="14"/>
        <v>578.67528975999971</v>
      </c>
    </row>
    <row r="929" spans="1:2" x14ac:dyDescent="0.4">
      <c r="A929" s="1">
        <v>9.27</v>
      </c>
      <c r="B929" s="1">
        <f t="shared" si="14"/>
        <v>583.69077440999922</v>
      </c>
    </row>
    <row r="930" spans="1:2" x14ac:dyDescent="0.4">
      <c r="A930" s="1">
        <v>9.2799999999999994</v>
      </c>
      <c r="B930" s="1">
        <f t="shared" si="14"/>
        <v>588.73798655999963</v>
      </c>
    </row>
    <row r="931" spans="1:2" x14ac:dyDescent="0.4">
      <c r="A931" s="1">
        <v>9.2899999999999991</v>
      </c>
      <c r="B931" s="1">
        <f t="shared" si="14"/>
        <v>593.8170528099995</v>
      </c>
    </row>
    <row r="932" spans="1:2" x14ac:dyDescent="0.4">
      <c r="A932" s="1">
        <v>9.3000000000000007</v>
      </c>
      <c r="B932" s="1">
        <f t="shared" si="14"/>
        <v>598.92809999999895</v>
      </c>
    </row>
    <row r="933" spans="1:2" x14ac:dyDescent="0.4">
      <c r="A933" s="1">
        <v>9.31</v>
      </c>
      <c r="B933" s="1">
        <f t="shared" si="14"/>
        <v>604.0712552100008</v>
      </c>
    </row>
    <row r="934" spans="1:2" x14ac:dyDescent="0.4">
      <c r="A934" s="1">
        <v>9.32</v>
      </c>
      <c r="B934" s="1">
        <f t="shared" si="14"/>
        <v>609.24664576000146</v>
      </c>
    </row>
    <row r="935" spans="1:2" x14ac:dyDescent="0.4">
      <c r="A935" s="1">
        <v>9.33</v>
      </c>
      <c r="B935" s="1">
        <f t="shared" si="14"/>
        <v>614.45439921000047</v>
      </c>
    </row>
    <row r="936" spans="1:2" x14ac:dyDescent="0.4">
      <c r="A936" s="1">
        <v>9.34</v>
      </c>
      <c r="B936" s="1">
        <f t="shared" si="14"/>
        <v>619.69464335999828</v>
      </c>
    </row>
    <row r="937" spans="1:2" x14ac:dyDescent="0.4">
      <c r="A937" s="1">
        <v>9.35</v>
      </c>
      <c r="B937" s="1">
        <f t="shared" si="14"/>
        <v>624.96750625000095</v>
      </c>
    </row>
    <row r="938" spans="1:2" x14ac:dyDescent="0.4">
      <c r="A938" s="1">
        <v>9.36</v>
      </c>
      <c r="B938" s="1">
        <f t="shared" si="14"/>
        <v>630.27311615999929</v>
      </c>
    </row>
    <row r="939" spans="1:2" x14ac:dyDescent="0.4">
      <c r="A939" s="1">
        <v>9.3699999999999992</v>
      </c>
      <c r="B939" s="1">
        <f t="shared" si="14"/>
        <v>635.61160160999884</v>
      </c>
    </row>
    <row r="940" spans="1:2" x14ac:dyDescent="0.4">
      <c r="A940" s="1">
        <v>9.3800000000000008</v>
      </c>
      <c r="B940" s="1">
        <f t="shared" si="14"/>
        <v>640.98309135999966</v>
      </c>
    </row>
    <row r="941" spans="1:2" x14ac:dyDescent="0.4">
      <c r="A941" s="1">
        <v>9.39</v>
      </c>
      <c r="B941" s="1">
        <f t="shared" si="14"/>
        <v>646.38771440999994</v>
      </c>
    </row>
    <row r="942" spans="1:2" x14ac:dyDescent="0.4">
      <c r="A942" s="1">
        <v>9.4</v>
      </c>
      <c r="B942" s="1">
        <f t="shared" si="14"/>
        <v>651.82560000000103</v>
      </c>
    </row>
    <row r="943" spans="1:2" x14ac:dyDescent="0.4">
      <c r="A943" s="1">
        <v>9.41</v>
      </c>
      <c r="B943" s="1">
        <f t="shared" si="14"/>
        <v>657.29687761000014</v>
      </c>
    </row>
    <row r="944" spans="1:2" x14ac:dyDescent="0.4">
      <c r="A944" s="1">
        <v>9.42</v>
      </c>
      <c r="B944" s="1">
        <f t="shared" si="14"/>
        <v>662.80167696000103</v>
      </c>
    </row>
    <row r="945" spans="1:2" x14ac:dyDescent="0.4">
      <c r="A945" s="1">
        <v>9.43</v>
      </c>
      <c r="B945" s="1">
        <f t="shared" si="14"/>
        <v>668.34012800999949</v>
      </c>
    </row>
    <row r="946" spans="1:2" x14ac:dyDescent="0.4">
      <c r="A946" s="1">
        <v>9.44</v>
      </c>
      <c r="B946" s="1">
        <f t="shared" si="14"/>
        <v>673.91236095999875</v>
      </c>
    </row>
    <row r="947" spans="1:2" x14ac:dyDescent="0.4">
      <c r="A947" s="1">
        <v>9.4499999999999993</v>
      </c>
      <c r="B947" s="1">
        <f t="shared" si="14"/>
        <v>679.51850624999793</v>
      </c>
    </row>
    <row r="948" spans="1:2" x14ac:dyDescent="0.4">
      <c r="A948" s="1">
        <v>9.4600000000000009</v>
      </c>
      <c r="B948" s="1">
        <f t="shared" si="14"/>
        <v>685.15869456000064</v>
      </c>
    </row>
    <row r="949" spans="1:2" x14ac:dyDescent="0.4">
      <c r="A949" s="1">
        <v>9.4700000000000006</v>
      </c>
      <c r="B949" s="1">
        <f t="shared" si="14"/>
        <v>690.83305680999911</v>
      </c>
    </row>
    <row r="950" spans="1:2" x14ac:dyDescent="0.4">
      <c r="A950" s="1">
        <v>9.48</v>
      </c>
      <c r="B950" s="1">
        <f t="shared" si="14"/>
        <v>696.54172416000051</v>
      </c>
    </row>
    <row r="951" spans="1:2" x14ac:dyDescent="0.4">
      <c r="A951" s="1">
        <v>9.49</v>
      </c>
      <c r="B951" s="1">
        <f t="shared" si="14"/>
        <v>702.28482800999996</v>
      </c>
    </row>
    <row r="952" spans="1:2" x14ac:dyDescent="0.4">
      <c r="A952" s="1">
        <v>9.5</v>
      </c>
      <c r="B952" s="1">
        <f t="shared" si="14"/>
        <v>708.0625</v>
      </c>
    </row>
    <row r="953" spans="1:2" x14ac:dyDescent="0.4">
      <c r="A953" s="1">
        <v>9.51</v>
      </c>
      <c r="B953" s="1">
        <f t="shared" si="14"/>
        <v>713.8748720100009</v>
      </c>
    </row>
    <row r="954" spans="1:2" x14ac:dyDescent="0.4">
      <c r="A954" s="1">
        <v>9.52</v>
      </c>
      <c r="B954" s="1">
        <f t="shared" si="14"/>
        <v>719.72207616000037</v>
      </c>
    </row>
    <row r="955" spans="1:2" x14ac:dyDescent="0.4">
      <c r="A955" s="1">
        <v>9.5299999999999994</v>
      </c>
      <c r="B955" s="1">
        <f t="shared" si="14"/>
        <v>725.60424481000064</v>
      </c>
    </row>
    <row r="956" spans="1:2" x14ac:dyDescent="0.4">
      <c r="A956" s="1">
        <v>9.5399999999999991</v>
      </c>
      <c r="B956" s="1">
        <f t="shared" si="14"/>
        <v>731.52151055999866</v>
      </c>
    </row>
    <row r="957" spans="1:2" x14ac:dyDescent="0.4">
      <c r="A957" s="1">
        <v>9.5500000000000007</v>
      </c>
      <c r="B957" s="1">
        <f t="shared" si="14"/>
        <v>737.47400625000023</v>
      </c>
    </row>
    <row r="958" spans="1:2" x14ac:dyDescent="0.4">
      <c r="A958" s="1">
        <v>9.56</v>
      </c>
      <c r="B958" s="1">
        <f t="shared" si="14"/>
        <v>743.46186495999928</v>
      </c>
    </row>
    <row r="959" spans="1:2" x14ac:dyDescent="0.4">
      <c r="A959" s="1">
        <v>9.57</v>
      </c>
      <c r="B959" s="1">
        <f t="shared" si="14"/>
        <v>749.48522000999878</v>
      </c>
    </row>
    <row r="960" spans="1:2" x14ac:dyDescent="0.4">
      <c r="A960" s="1">
        <v>9.58</v>
      </c>
      <c r="B960" s="1">
        <f t="shared" si="14"/>
        <v>755.54420496000034</v>
      </c>
    </row>
    <row r="961" spans="1:2" x14ac:dyDescent="0.4">
      <c r="A961" s="1">
        <v>9.59</v>
      </c>
      <c r="B961" s="1">
        <f t="shared" si="14"/>
        <v>761.63895360999823</v>
      </c>
    </row>
    <row r="962" spans="1:2" x14ac:dyDescent="0.4">
      <c r="A962" s="1">
        <v>9.6</v>
      </c>
      <c r="B962" s="1">
        <f t="shared" si="14"/>
        <v>767.76959999999963</v>
      </c>
    </row>
    <row r="963" spans="1:2" x14ac:dyDescent="0.4">
      <c r="A963" s="1">
        <v>9.61</v>
      </c>
      <c r="B963" s="1">
        <f t="shared" ref="B963:B1002" si="15">A963^4-16*A963^3+88*A963^2-190*A963+144</f>
        <v>773.93627841000011</v>
      </c>
    </row>
    <row r="964" spans="1:2" x14ac:dyDescent="0.4">
      <c r="A964" s="1">
        <v>9.6199999999999992</v>
      </c>
      <c r="B964" s="1">
        <f t="shared" si="15"/>
        <v>780.13912335999908</v>
      </c>
    </row>
    <row r="965" spans="1:2" x14ac:dyDescent="0.4">
      <c r="A965" s="1">
        <v>9.6300000000000008</v>
      </c>
      <c r="B965" s="1">
        <f t="shared" si="15"/>
        <v>786.37826961000133</v>
      </c>
    </row>
    <row r="966" spans="1:2" x14ac:dyDescent="0.4">
      <c r="A966" s="1">
        <v>9.64</v>
      </c>
      <c r="B966" s="1">
        <f t="shared" si="15"/>
        <v>792.65385215999891</v>
      </c>
    </row>
    <row r="967" spans="1:2" x14ac:dyDescent="0.4">
      <c r="A967" s="1">
        <v>9.65</v>
      </c>
      <c r="B967" s="1">
        <f t="shared" si="15"/>
        <v>798.96600624999883</v>
      </c>
    </row>
    <row r="968" spans="1:2" x14ac:dyDescent="0.4">
      <c r="A968" s="1">
        <v>9.66</v>
      </c>
      <c r="B968" s="1">
        <f t="shared" si="15"/>
        <v>805.31486736000033</v>
      </c>
    </row>
    <row r="969" spans="1:2" x14ac:dyDescent="0.4">
      <c r="A969" s="1">
        <v>9.67</v>
      </c>
      <c r="B969" s="1">
        <f t="shared" si="15"/>
        <v>811.70057121000104</v>
      </c>
    </row>
    <row r="970" spans="1:2" x14ac:dyDescent="0.4">
      <c r="A970" s="1">
        <v>9.68</v>
      </c>
      <c r="B970" s="1">
        <f t="shared" si="15"/>
        <v>818.12325375999967</v>
      </c>
    </row>
    <row r="971" spans="1:2" x14ac:dyDescent="0.4">
      <c r="A971" s="1">
        <v>9.69</v>
      </c>
      <c r="B971" s="1">
        <f t="shared" si="15"/>
        <v>824.58305121000058</v>
      </c>
    </row>
    <row r="972" spans="1:2" x14ac:dyDescent="0.4">
      <c r="A972" s="1">
        <v>9.6999999999999993</v>
      </c>
      <c r="B972" s="1">
        <f t="shared" si="15"/>
        <v>831.08009999999945</v>
      </c>
    </row>
    <row r="973" spans="1:2" x14ac:dyDescent="0.4">
      <c r="A973" s="1">
        <v>9.7100000000000009</v>
      </c>
      <c r="B973" s="1">
        <f t="shared" si="15"/>
        <v>837.61453681000012</v>
      </c>
    </row>
    <row r="974" spans="1:2" x14ac:dyDescent="0.4">
      <c r="A974" s="1">
        <v>9.7200000000000006</v>
      </c>
      <c r="B974" s="1">
        <f t="shared" si="15"/>
        <v>844.18649855999956</v>
      </c>
    </row>
    <row r="975" spans="1:2" x14ac:dyDescent="0.4">
      <c r="A975" s="1">
        <v>9.73</v>
      </c>
      <c r="B975" s="1">
        <f t="shared" si="15"/>
        <v>850.79612241000063</v>
      </c>
    </row>
    <row r="976" spans="1:2" x14ac:dyDescent="0.4">
      <c r="A976" s="1">
        <v>9.74</v>
      </c>
      <c r="B976" s="1">
        <f t="shared" si="15"/>
        <v>857.44354576000137</v>
      </c>
    </row>
    <row r="977" spans="1:2" x14ac:dyDescent="0.4">
      <c r="A977" s="1">
        <v>9.75</v>
      </c>
      <c r="B977" s="1">
        <f t="shared" si="15"/>
        <v>864.12890625</v>
      </c>
    </row>
    <row r="978" spans="1:2" x14ac:dyDescent="0.4">
      <c r="A978" s="1">
        <v>9.76</v>
      </c>
      <c r="B978" s="1">
        <f t="shared" si="15"/>
        <v>870.85234175999881</v>
      </c>
    </row>
    <row r="979" spans="1:2" x14ac:dyDescent="0.4">
      <c r="A979" s="1">
        <v>9.77</v>
      </c>
      <c r="B979" s="1">
        <f t="shared" si="15"/>
        <v>877.61399040999936</v>
      </c>
    </row>
    <row r="980" spans="1:2" x14ac:dyDescent="0.4">
      <c r="A980" s="1">
        <v>9.7799999999999994</v>
      </c>
      <c r="B980" s="1">
        <f t="shared" si="15"/>
        <v>884.41399055999955</v>
      </c>
    </row>
    <row r="981" spans="1:2" x14ac:dyDescent="0.4">
      <c r="A981" s="1">
        <v>9.7899999999999991</v>
      </c>
      <c r="B981" s="1">
        <f t="shared" si="15"/>
        <v>891.25248080999927</v>
      </c>
    </row>
    <row r="982" spans="1:2" x14ac:dyDescent="0.4">
      <c r="A982" s="1">
        <v>9.8000000000000007</v>
      </c>
      <c r="B982" s="1">
        <f t="shared" si="15"/>
        <v>898.1296000000018</v>
      </c>
    </row>
    <row r="983" spans="1:2" x14ac:dyDescent="0.4">
      <c r="A983" s="1">
        <v>9.81</v>
      </c>
      <c r="B983" s="1">
        <f t="shared" si="15"/>
        <v>905.04548721000128</v>
      </c>
    </row>
    <row r="984" spans="1:2" x14ac:dyDescent="0.4">
      <c r="A984" s="1">
        <v>9.82</v>
      </c>
      <c r="B984" s="1">
        <f t="shared" si="15"/>
        <v>912.0002817599991</v>
      </c>
    </row>
    <row r="985" spans="1:2" x14ac:dyDescent="0.4">
      <c r="A985" s="1">
        <v>9.83</v>
      </c>
      <c r="B985" s="1">
        <f t="shared" si="15"/>
        <v>918.99412320999977</v>
      </c>
    </row>
    <row r="986" spans="1:2" x14ac:dyDescent="0.4">
      <c r="A986" s="1">
        <v>9.84</v>
      </c>
      <c r="B986" s="1">
        <f t="shared" si="15"/>
        <v>926.02715136000052</v>
      </c>
    </row>
    <row r="987" spans="1:2" x14ac:dyDescent="0.4">
      <c r="A987" s="1">
        <v>9.85</v>
      </c>
      <c r="B987" s="1">
        <f t="shared" si="15"/>
        <v>933.09950624999874</v>
      </c>
    </row>
    <row r="988" spans="1:2" x14ac:dyDescent="0.4">
      <c r="A988" s="1">
        <v>9.86</v>
      </c>
      <c r="B988" s="1">
        <f t="shared" si="15"/>
        <v>940.21132815999749</v>
      </c>
    </row>
    <row r="989" spans="1:2" x14ac:dyDescent="0.4">
      <c r="A989" s="1">
        <v>9.8699999999999992</v>
      </c>
      <c r="B989" s="1">
        <f t="shared" si="15"/>
        <v>947.3627576099982</v>
      </c>
    </row>
    <row r="990" spans="1:2" x14ac:dyDescent="0.4">
      <c r="A990" s="1">
        <v>9.8800000000000008</v>
      </c>
      <c r="B990" s="1">
        <f t="shared" si="15"/>
        <v>954.55393536000042</v>
      </c>
    </row>
    <row r="991" spans="1:2" x14ac:dyDescent="0.4">
      <c r="A991" s="1">
        <v>9.89</v>
      </c>
      <c r="B991" s="1">
        <f t="shared" si="15"/>
        <v>961.78500241000097</v>
      </c>
    </row>
    <row r="992" spans="1:2" x14ac:dyDescent="0.4">
      <c r="A992" s="1">
        <v>9.9</v>
      </c>
      <c r="B992" s="1">
        <f t="shared" si="15"/>
        <v>969.05609999999979</v>
      </c>
    </row>
    <row r="993" spans="1:2" x14ac:dyDescent="0.4">
      <c r="A993" s="1">
        <v>9.91</v>
      </c>
      <c r="B993" s="1">
        <f t="shared" si="15"/>
        <v>976.36736960999906</v>
      </c>
    </row>
    <row r="994" spans="1:2" x14ac:dyDescent="0.4">
      <c r="A994" s="1">
        <v>9.92</v>
      </c>
      <c r="B994" s="1">
        <f t="shared" si="15"/>
        <v>983.71895296000116</v>
      </c>
    </row>
    <row r="995" spans="1:2" x14ac:dyDescent="0.4">
      <c r="A995" s="1">
        <v>9.93</v>
      </c>
      <c r="B995" s="1">
        <f t="shared" si="15"/>
        <v>991.11099200999956</v>
      </c>
    </row>
    <row r="996" spans="1:2" x14ac:dyDescent="0.4">
      <c r="A996" s="1">
        <v>9.94</v>
      </c>
      <c r="B996" s="1">
        <f t="shared" si="15"/>
        <v>998.54362895999884</v>
      </c>
    </row>
    <row r="997" spans="1:2" x14ac:dyDescent="0.4">
      <c r="A997" s="1">
        <v>9.9499999999999993</v>
      </c>
      <c r="B997" s="1">
        <f t="shared" si="15"/>
        <v>1006.0170062500003</v>
      </c>
    </row>
    <row r="998" spans="1:2" x14ac:dyDescent="0.4">
      <c r="A998" s="1">
        <v>9.9600000000000009</v>
      </c>
      <c r="B998" s="1">
        <f t="shared" si="15"/>
        <v>1013.5312665600009</v>
      </c>
    </row>
    <row r="999" spans="1:2" x14ac:dyDescent="0.4">
      <c r="A999" s="1">
        <v>9.9700000000000006</v>
      </c>
      <c r="B999" s="1">
        <f t="shared" si="15"/>
        <v>1021.0865528100012</v>
      </c>
    </row>
    <row r="1000" spans="1:2" x14ac:dyDescent="0.4">
      <c r="A1000" s="1">
        <v>9.98</v>
      </c>
      <c r="B1000" s="1">
        <f t="shared" si="15"/>
        <v>1028.6830081600008</v>
      </c>
    </row>
    <row r="1001" spans="1:2" x14ac:dyDescent="0.4">
      <c r="A1001" s="1">
        <v>9.99</v>
      </c>
      <c r="B1001" s="1">
        <f t="shared" si="15"/>
        <v>1036.3207760099979</v>
      </c>
    </row>
    <row r="1002" spans="1:2" x14ac:dyDescent="0.4">
      <c r="A1002" s="1">
        <v>10</v>
      </c>
      <c r="B1002" s="1">
        <f t="shared" si="15"/>
        <v>1044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17B0-12C7-4118-89DC-F85FD87B90E8}">
  <dimension ref="A1:J58"/>
  <sheetViews>
    <sheetView workbookViewId="0">
      <selection activeCell="F3" sqref="F3"/>
    </sheetView>
  </sheetViews>
  <sheetFormatPr defaultRowHeight="18.75" x14ac:dyDescent="0.4"/>
  <cols>
    <col min="1" max="1" width="6.125" style="1" bestFit="1" customWidth="1"/>
    <col min="2" max="2" width="8.125" style="1" bestFit="1" customWidth="1"/>
    <col min="3" max="5" width="7.125" style="1" bestFit="1" customWidth="1"/>
    <col min="6" max="6" width="6" style="1" bestFit="1" customWidth="1"/>
    <col min="7" max="7" width="6.125" style="1" customWidth="1"/>
    <col min="9" max="9" width="7.875" bestFit="1" customWidth="1"/>
    <col min="10" max="10" width="9.375" bestFit="1" customWidth="1"/>
  </cols>
  <sheetData>
    <row r="1" spans="1:10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/>
    </row>
    <row r="2" spans="1:10" x14ac:dyDescent="0.4">
      <c r="A2" s="3">
        <v>10</v>
      </c>
      <c r="B2" s="1">
        <f>A2^4-16*A2^3+88*A2^2-190*A2+144</f>
        <v>1044</v>
      </c>
      <c r="C2" s="1">
        <f>4*A2^3-48*A2^2+176*A2-190</f>
        <v>770</v>
      </c>
      <c r="D2" s="1">
        <f>12*A2^2-96*A2+176</f>
        <v>416</v>
      </c>
      <c r="E2" s="1">
        <f>C2</f>
        <v>770</v>
      </c>
      <c r="F2" s="1">
        <f>-C2/D2</f>
        <v>-1.8509615384615385</v>
      </c>
      <c r="G2" s="1">
        <f>A2-E2*F2</f>
        <v>1435.2403846153848</v>
      </c>
    </row>
    <row r="3" spans="1:10" x14ac:dyDescent="0.4">
      <c r="A3" s="1">
        <f>G2</f>
        <v>1435.2403846153848</v>
      </c>
      <c r="B3" s="1">
        <f>A3^4-16*A3^3+88*A3^2-190*A3+144</f>
        <v>4196127078846.957</v>
      </c>
      <c r="C3" s="1">
        <f>4*A3^3-48*A3^2+176*A3-190</f>
        <v>11727269061.373983</v>
      </c>
      <c r="D3" s="1">
        <f>12*A3^2-96*A3+176</f>
        <v>24581372.462647934</v>
      </c>
      <c r="E3" s="1">
        <f>C3</f>
        <v>11727269061.373983</v>
      </c>
      <c r="F3" s="1">
        <f t="shared" ref="F3:F58" si="0">-C3/D3</f>
        <v>-477.07950722417507</v>
      </c>
      <c r="G3" s="1">
        <f t="shared" ref="G3:G58" si="1">A3-E3*F3</f>
        <v>5594839746320.8545</v>
      </c>
    </row>
    <row r="4" spans="1:10" ht="19.5" thickBot="1" x14ac:dyDescent="0.45">
      <c r="A4" s="1">
        <f>G3</f>
        <v>5594839746320.8545</v>
      </c>
      <c r="B4" s="1">
        <f>A4^4-16*A4^3+88*A4^2-190*A4+144</f>
        <v>9.798297148449975E+50</v>
      </c>
      <c r="C4" s="1">
        <f>4*A4^3-48*A4^2+176*A4-190</f>
        <v>7.0052388220057983E+38</v>
      </c>
      <c r="D4" s="1">
        <f>12*A4^2-96*A4+176</f>
        <v>3.7562678144360213E+26</v>
      </c>
      <c r="E4" s="1">
        <f>C4</f>
        <v>7.0052388220057983E+38</v>
      </c>
      <c r="F4" s="1">
        <f t="shared" si="0"/>
        <v>-1864946582105.6182</v>
      </c>
      <c r="G4" s="1">
        <f t="shared" si="1"/>
        <v>1.30643961979333E+51</v>
      </c>
    </row>
    <row r="5" spans="1:10" ht="37.5" x14ac:dyDescent="0.4">
      <c r="A5" s="1">
        <f>G4</f>
        <v>1.30643961979333E+51</v>
      </c>
      <c r="B5" s="1">
        <f>A5^4-16*A5^3+88*A5^2-190*A5+144</f>
        <v>2.9131132617346371E+204</v>
      </c>
      <c r="C5" s="1">
        <f>4*A5^3-48*A5^2+176*A5-190</f>
        <v>8.9192434693475462E+153</v>
      </c>
      <c r="D5" s="1">
        <f>12*A5^2-96*A5+176</f>
        <v>2.0481413761988888E+103</v>
      </c>
      <c r="E5" s="1">
        <f>C5</f>
        <v>8.9192434693475462E+153</v>
      </c>
      <c r="F5" s="1">
        <f t="shared" si="0"/>
        <v>-4.3547987326444336E+50</v>
      </c>
      <c r="G5" s="1">
        <f t="shared" si="1"/>
        <v>3.8841510156461836E+204</v>
      </c>
      <c r="I5" s="10" t="s">
        <v>9</v>
      </c>
      <c r="J5" s="11" t="s">
        <v>8</v>
      </c>
    </row>
    <row r="6" spans="1:10" x14ac:dyDescent="0.4">
      <c r="A6" s="1">
        <f t="shared" ref="A6:A58" si="2">G5</f>
        <v>3.8841510156461836E+204</v>
      </c>
      <c r="B6" s="1" t="e">
        <f t="shared" ref="B6:B58" si="3">A6^4-16*A6^3+88*A6^2-190*A6+144</f>
        <v>#NUM!</v>
      </c>
      <c r="C6" s="1" t="e">
        <f t="shared" ref="C6:C58" si="4">4*A6^3-48*A6^2+176*A6-190</f>
        <v>#NUM!</v>
      </c>
      <c r="D6" s="1" t="e">
        <f t="shared" ref="D6:D58" si="5">12*A6^2-96*A6+176</f>
        <v>#NUM!</v>
      </c>
      <c r="E6" s="1" t="e">
        <f t="shared" ref="E6:E58" si="6">C6</f>
        <v>#NUM!</v>
      </c>
      <c r="F6" s="1" t="e">
        <f t="shared" si="0"/>
        <v>#NUM!</v>
      </c>
      <c r="G6" s="1" t="e">
        <f t="shared" si="1"/>
        <v>#NUM!</v>
      </c>
      <c r="I6" s="26" t="s">
        <v>11</v>
      </c>
      <c r="J6" s="27" t="s">
        <v>10</v>
      </c>
    </row>
    <row r="7" spans="1:10" x14ac:dyDescent="0.4">
      <c r="A7" s="1" t="e">
        <f t="shared" si="2"/>
        <v>#NUM!</v>
      </c>
      <c r="B7" s="1" t="e">
        <f t="shared" si="3"/>
        <v>#NUM!</v>
      </c>
      <c r="C7" s="1" t="e">
        <f t="shared" si="4"/>
        <v>#NUM!</v>
      </c>
      <c r="D7" s="1" t="e">
        <f t="shared" si="5"/>
        <v>#NUM!</v>
      </c>
      <c r="E7" s="1" t="e">
        <f t="shared" si="6"/>
        <v>#NUM!</v>
      </c>
      <c r="F7" s="1" t="e">
        <f t="shared" si="0"/>
        <v>#NUM!</v>
      </c>
      <c r="G7" s="1" t="e">
        <f t="shared" si="1"/>
        <v>#NUM!</v>
      </c>
      <c r="I7" s="26" t="s">
        <v>12</v>
      </c>
      <c r="J7" s="27" t="s">
        <v>10</v>
      </c>
    </row>
    <row r="8" spans="1:10" x14ac:dyDescent="0.4">
      <c r="A8" s="1" t="e">
        <f t="shared" si="2"/>
        <v>#NUM!</v>
      </c>
      <c r="B8" s="1" t="e">
        <f t="shared" si="3"/>
        <v>#NUM!</v>
      </c>
      <c r="C8" s="1" t="e">
        <f t="shared" si="4"/>
        <v>#NUM!</v>
      </c>
      <c r="D8" s="1" t="e">
        <f t="shared" si="5"/>
        <v>#NUM!</v>
      </c>
      <c r="E8" s="1" t="e">
        <f t="shared" si="6"/>
        <v>#NUM!</v>
      </c>
      <c r="F8" s="1" t="e">
        <f t="shared" si="0"/>
        <v>#NUM!</v>
      </c>
      <c r="G8" s="1" t="e">
        <f t="shared" si="1"/>
        <v>#NUM!</v>
      </c>
      <c r="I8" s="26">
        <v>3</v>
      </c>
      <c r="J8" s="27" t="s">
        <v>10</v>
      </c>
    </row>
    <row r="9" spans="1:10" x14ac:dyDescent="0.4">
      <c r="A9" s="1" t="e">
        <f t="shared" si="2"/>
        <v>#NUM!</v>
      </c>
      <c r="B9" s="1" t="e">
        <f t="shared" si="3"/>
        <v>#NUM!</v>
      </c>
      <c r="C9" s="1" t="e">
        <f t="shared" si="4"/>
        <v>#NUM!</v>
      </c>
      <c r="D9" s="1" t="e">
        <f t="shared" si="5"/>
        <v>#NUM!</v>
      </c>
      <c r="E9" s="1" t="e">
        <f t="shared" si="6"/>
        <v>#NUM!</v>
      </c>
      <c r="F9" s="1" t="e">
        <f t="shared" si="0"/>
        <v>#NUM!</v>
      </c>
      <c r="G9" s="1" t="e">
        <f t="shared" si="1"/>
        <v>#NUM!</v>
      </c>
      <c r="I9" s="26">
        <v>4</v>
      </c>
      <c r="J9" s="27" t="s">
        <v>10</v>
      </c>
    </row>
    <row r="10" spans="1:10" x14ac:dyDescent="0.4">
      <c r="A10" s="1" t="e">
        <f t="shared" si="2"/>
        <v>#NUM!</v>
      </c>
      <c r="B10" s="1" t="e">
        <f t="shared" si="3"/>
        <v>#NUM!</v>
      </c>
      <c r="C10" s="1" t="e">
        <f t="shared" si="4"/>
        <v>#NUM!</v>
      </c>
      <c r="D10" s="1" t="e">
        <f t="shared" si="5"/>
        <v>#NUM!</v>
      </c>
      <c r="E10" s="1" t="e">
        <f t="shared" si="6"/>
        <v>#NUM!</v>
      </c>
      <c r="F10" s="1" t="e">
        <f t="shared" si="0"/>
        <v>#NUM!</v>
      </c>
      <c r="G10" s="1" t="e">
        <f t="shared" si="1"/>
        <v>#NUM!</v>
      </c>
      <c r="I10" s="26">
        <v>5</v>
      </c>
      <c r="J10" s="27" t="s">
        <v>10</v>
      </c>
    </row>
    <row r="11" spans="1:10" x14ac:dyDescent="0.4">
      <c r="A11" s="1" t="e">
        <f t="shared" si="2"/>
        <v>#NUM!</v>
      </c>
      <c r="B11" s="1" t="e">
        <f t="shared" si="3"/>
        <v>#NUM!</v>
      </c>
      <c r="C11" s="1" t="e">
        <f t="shared" si="4"/>
        <v>#NUM!</v>
      </c>
      <c r="D11" s="1" t="e">
        <f t="shared" si="5"/>
        <v>#NUM!</v>
      </c>
      <c r="E11" s="1" t="e">
        <f t="shared" si="6"/>
        <v>#NUM!</v>
      </c>
      <c r="F11" s="1" t="e">
        <f t="shared" si="0"/>
        <v>#NUM!</v>
      </c>
      <c r="G11" s="1" t="e">
        <f t="shared" si="1"/>
        <v>#NUM!</v>
      </c>
      <c r="I11" s="26">
        <v>6</v>
      </c>
      <c r="J11" s="27" t="s">
        <v>10</v>
      </c>
    </row>
    <row r="12" spans="1:10" x14ac:dyDescent="0.4">
      <c r="A12" s="1" t="e">
        <f t="shared" si="2"/>
        <v>#NUM!</v>
      </c>
      <c r="B12" s="1" t="e">
        <f t="shared" si="3"/>
        <v>#NUM!</v>
      </c>
      <c r="C12" s="1" t="e">
        <f t="shared" si="4"/>
        <v>#NUM!</v>
      </c>
      <c r="D12" s="1" t="e">
        <f t="shared" si="5"/>
        <v>#NUM!</v>
      </c>
      <c r="E12" s="1" t="e">
        <f t="shared" si="6"/>
        <v>#NUM!</v>
      </c>
      <c r="F12" s="1" t="e">
        <f t="shared" si="0"/>
        <v>#NUM!</v>
      </c>
      <c r="G12" s="1" t="e">
        <f t="shared" si="1"/>
        <v>#NUM!</v>
      </c>
      <c r="I12" s="26">
        <v>7</v>
      </c>
      <c r="J12" s="27" t="s">
        <v>10</v>
      </c>
    </row>
    <row r="13" spans="1:10" x14ac:dyDescent="0.4">
      <c r="A13" s="1" t="e">
        <f t="shared" si="2"/>
        <v>#NUM!</v>
      </c>
      <c r="B13" s="1" t="e">
        <f t="shared" si="3"/>
        <v>#NUM!</v>
      </c>
      <c r="C13" s="1" t="e">
        <f t="shared" si="4"/>
        <v>#NUM!</v>
      </c>
      <c r="D13" s="1" t="e">
        <f t="shared" si="5"/>
        <v>#NUM!</v>
      </c>
      <c r="E13" s="1" t="e">
        <f t="shared" si="6"/>
        <v>#NUM!</v>
      </c>
      <c r="F13" s="1" t="e">
        <f t="shared" si="0"/>
        <v>#NUM!</v>
      </c>
      <c r="G13" s="1" t="e">
        <f t="shared" si="1"/>
        <v>#NUM!</v>
      </c>
      <c r="I13" s="26">
        <v>8</v>
      </c>
      <c r="J13" s="27" t="s">
        <v>10</v>
      </c>
    </row>
    <row r="14" spans="1:10" x14ac:dyDescent="0.4">
      <c r="A14" s="1" t="e">
        <f t="shared" si="2"/>
        <v>#NUM!</v>
      </c>
      <c r="B14" s="1" t="e">
        <f t="shared" si="3"/>
        <v>#NUM!</v>
      </c>
      <c r="C14" s="1" t="e">
        <f t="shared" si="4"/>
        <v>#NUM!</v>
      </c>
      <c r="D14" s="1" t="e">
        <f t="shared" si="5"/>
        <v>#NUM!</v>
      </c>
      <c r="E14" s="1" t="e">
        <f t="shared" si="6"/>
        <v>#NUM!</v>
      </c>
      <c r="F14" s="1" t="e">
        <f t="shared" si="0"/>
        <v>#NUM!</v>
      </c>
      <c r="G14" s="1" t="e">
        <f t="shared" si="1"/>
        <v>#NUM!</v>
      </c>
      <c r="I14" s="26">
        <v>9</v>
      </c>
      <c r="J14" s="27" t="s">
        <v>10</v>
      </c>
    </row>
    <row r="15" spans="1:10" ht="19.5" thickBot="1" x14ac:dyDescent="0.45">
      <c r="A15" s="1" t="e">
        <f t="shared" si="2"/>
        <v>#NUM!</v>
      </c>
      <c r="B15" s="1" t="e">
        <f t="shared" si="3"/>
        <v>#NUM!</v>
      </c>
      <c r="C15" s="1" t="e">
        <f t="shared" si="4"/>
        <v>#NUM!</v>
      </c>
      <c r="D15" s="1" t="e">
        <f t="shared" si="5"/>
        <v>#NUM!</v>
      </c>
      <c r="E15" s="1" t="e">
        <f t="shared" si="6"/>
        <v>#NUM!</v>
      </c>
      <c r="F15" s="1" t="e">
        <f t="shared" si="0"/>
        <v>#NUM!</v>
      </c>
      <c r="G15" s="1" t="e">
        <f t="shared" si="1"/>
        <v>#NUM!</v>
      </c>
      <c r="I15" s="28">
        <v>10</v>
      </c>
      <c r="J15" s="29" t="s">
        <v>10</v>
      </c>
    </row>
    <row r="16" spans="1:10" x14ac:dyDescent="0.4">
      <c r="A16" s="1" t="e">
        <f t="shared" si="2"/>
        <v>#NUM!</v>
      </c>
      <c r="B16" s="1" t="e">
        <f t="shared" si="3"/>
        <v>#NUM!</v>
      </c>
      <c r="C16" s="1" t="e">
        <f t="shared" si="4"/>
        <v>#NUM!</v>
      </c>
      <c r="D16" s="1" t="e">
        <f t="shared" si="5"/>
        <v>#NUM!</v>
      </c>
      <c r="E16" s="1" t="e">
        <f t="shared" si="6"/>
        <v>#NUM!</v>
      </c>
      <c r="F16" s="1" t="e">
        <f t="shared" si="0"/>
        <v>#NUM!</v>
      </c>
      <c r="G16" s="1" t="e">
        <f t="shared" si="1"/>
        <v>#NUM!</v>
      </c>
    </row>
    <row r="17" spans="1:7" x14ac:dyDescent="0.4">
      <c r="A17" s="1" t="e">
        <f t="shared" si="2"/>
        <v>#NUM!</v>
      </c>
      <c r="B17" s="1" t="e">
        <f t="shared" si="3"/>
        <v>#NUM!</v>
      </c>
      <c r="C17" s="1" t="e">
        <f t="shared" si="4"/>
        <v>#NUM!</v>
      </c>
      <c r="D17" s="1" t="e">
        <f t="shared" si="5"/>
        <v>#NUM!</v>
      </c>
      <c r="E17" s="1" t="e">
        <f t="shared" si="6"/>
        <v>#NUM!</v>
      </c>
      <c r="F17" s="1" t="e">
        <f t="shared" si="0"/>
        <v>#NUM!</v>
      </c>
      <c r="G17" s="1" t="e">
        <f t="shared" si="1"/>
        <v>#NUM!</v>
      </c>
    </row>
    <row r="18" spans="1:7" x14ac:dyDescent="0.4">
      <c r="A18" s="1" t="e">
        <f t="shared" si="2"/>
        <v>#NUM!</v>
      </c>
      <c r="B18" s="1" t="e">
        <f t="shared" si="3"/>
        <v>#NUM!</v>
      </c>
      <c r="C18" s="1" t="e">
        <f t="shared" si="4"/>
        <v>#NUM!</v>
      </c>
      <c r="D18" s="1" t="e">
        <f t="shared" si="5"/>
        <v>#NUM!</v>
      </c>
      <c r="E18" s="1" t="e">
        <f t="shared" si="6"/>
        <v>#NUM!</v>
      </c>
      <c r="F18" s="1" t="e">
        <f t="shared" si="0"/>
        <v>#NUM!</v>
      </c>
      <c r="G18" s="1" t="e">
        <f t="shared" si="1"/>
        <v>#NUM!</v>
      </c>
    </row>
    <row r="19" spans="1:7" x14ac:dyDescent="0.4">
      <c r="A19" s="1" t="e">
        <f t="shared" si="2"/>
        <v>#NUM!</v>
      </c>
      <c r="B19" s="1" t="e">
        <f t="shared" si="3"/>
        <v>#NUM!</v>
      </c>
      <c r="C19" s="1" t="e">
        <f t="shared" si="4"/>
        <v>#NUM!</v>
      </c>
      <c r="D19" s="1" t="e">
        <f t="shared" si="5"/>
        <v>#NUM!</v>
      </c>
      <c r="E19" s="1" t="e">
        <f t="shared" si="6"/>
        <v>#NUM!</v>
      </c>
      <c r="F19" s="1" t="e">
        <f t="shared" si="0"/>
        <v>#NUM!</v>
      </c>
      <c r="G19" s="1" t="e">
        <f t="shared" si="1"/>
        <v>#NUM!</v>
      </c>
    </row>
    <row r="20" spans="1:7" x14ac:dyDescent="0.4">
      <c r="A20" s="1" t="e">
        <f t="shared" si="2"/>
        <v>#NUM!</v>
      </c>
      <c r="B20" s="1" t="e">
        <f t="shared" si="3"/>
        <v>#NUM!</v>
      </c>
      <c r="C20" s="1" t="e">
        <f t="shared" si="4"/>
        <v>#NUM!</v>
      </c>
      <c r="D20" s="1" t="e">
        <f t="shared" si="5"/>
        <v>#NUM!</v>
      </c>
      <c r="E20" s="1" t="e">
        <f t="shared" si="6"/>
        <v>#NUM!</v>
      </c>
      <c r="F20" s="1" t="e">
        <f t="shared" si="0"/>
        <v>#NUM!</v>
      </c>
      <c r="G20" s="1" t="e">
        <f t="shared" si="1"/>
        <v>#NUM!</v>
      </c>
    </row>
    <row r="21" spans="1:7" x14ac:dyDescent="0.4">
      <c r="A21" s="1" t="e">
        <f t="shared" si="2"/>
        <v>#NUM!</v>
      </c>
      <c r="B21" s="1" t="e">
        <f t="shared" si="3"/>
        <v>#NUM!</v>
      </c>
      <c r="C21" s="1" t="e">
        <f t="shared" si="4"/>
        <v>#NUM!</v>
      </c>
      <c r="D21" s="1" t="e">
        <f t="shared" si="5"/>
        <v>#NUM!</v>
      </c>
      <c r="E21" s="1" t="e">
        <f t="shared" si="6"/>
        <v>#NUM!</v>
      </c>
      <c r="F21" s="1" t="e">
        <f t="shared" si="0"/>
        <v>#NUM!</v>
      </c>
      <c r="G21" s="1" t="e">
        <f t="shared" si="1"/>
        <v>#NUM!</v>
      </c>
    </row>
    <row r="22" spans="1:7" x14ac:dyDescent="0.4">
      <c r="A22" s="1" t="e">
        <f t="shared" si="2"/>
        <v>#NUM!</v>
      </c>
      <c r="B22" s="1" t="e">
        <f t="shared" si="3"/>
        <v>#NUM!</v>
      </c>
      <c r="C22" s="1" t="e">
        <f t="shared" si="4"/>
        <v>#NUM!</v>
      </c>
      <c r="D22" s="1" t="e">
        <f t="shared" si="5"/>
        <v>#NUM!</v>
      </c>
      <c r="E22" s="1" t="e">
        <f t="shared" si="6"/>
        <v>#NUM!</v>
      </c>
      <c r="F22" s="1" t="e">
        <f t="shared" si="0"/>
        <v>#NUM!</v>
      </c>
      <c r="G22" s="1" t="e">
        <f t="shared" si="1"/>
        <v>#NUM!</v>
      </c>
    </row>
    <row r="23" spans="1:7" x14ac:dyDescent="0.4">
      <c r="A23" s="1" t="e">
        <f t="shared" si="2"/>
        <v>#NUM!</v>
      </c>
      <c r="B23" s="1" t="e">
        <f t="shared" si="3"/>
        <v>#NUM!</v>
      </c>
      <c r="C23" s="1" t="e">
        <f t="shared" si="4"/>
        <v>#NUM!</v>
      </c>
      <c r="D23" s="1" t="e">
        <f t="shared" si="5"/>
        <v>#NUM!</v>
      </c>
      <c r="E23" s="1" t="e">
        <f t="shared" si="6"/>
        <v>#NUM!</v>
      </c>
      <c r="F23" s="1" t="e">
        <f t="shared" si="0"/>
        <v>#NUM!</v>
      </c>
      <c r="G23" s="1" t="e">
        <f t="shared" si="1"/>
        <v>#NUM!</v>
      </c>
    </row>
    <row r="24" spans="1:7" x14ac:dyDescent="0.4">
      <c r="A24" s="1" t="e">
        <f t="shared" si="2"/>
        <v>#NUM!</v>
      </c>
      <c r="B24" s="1" t="e">
        <f t="shared" si="3"/>
        <v>#NUM!</v>
      </c>
      <c r="C24" s="1" t="e">
        <f t="shared" si="4"/>
        <v>#NUM!</v>
      </c>
      <c r="D24" s="1" t="e">
        <f t="shared" si="5"/>
        <v>#NUM!</v>
      </c>
      <c r="E24" s="1" t="e">
        <f t="shared" si="6"/>
        <v>#NUM!</v>
      </c>
      <c r="F24" s="1" t="e">
        <f t="shared" si="0"/>
        <v>#NUM!</v>
      </c>
      <c r="G24" s="1" t="e">
        <f t="shared" si="1"/>
        <v>#NUM!</v>
      </c>
    </row>
    <row r="25" spans="1:7" x14ac:dyDescent="0.4">
      <c r="A25" s="1" t="e">
        <f t="shared" si="2"/>
        <v>#NUM!</v>
      </c>
      <c r="B25" s="1" t="e">
        <f t="shared" si="3"/>
        <v>#NUM!</v>
      </c>
      <c r="C25" s="1" t="e">
        <f t="shared" si="4"/>
        <v>#NUM!</v>
      </c>
      <c r="D25" s="1" t="e">
        <f t="shared" si="5"/>
        <v>#NUM!</v>
      </c>
      <c r="E25" s="1" t="e">
        <f t="shared" si="6"/>
        <v>#NUM!</v>
      </c>
      <c r="F25" s="1" t="e">
        <f t="shared" si="0"/>
        <v>#NUM!</v>
      </c>
      <c r="G25" s="1" t="e">
        <f t="shared" si="1"/>
        <v>#NUM!</v>
      </c>
    </row>
    <row r="26" spans="1:7" x14ac:dyDescent="0.4">
      <c r="A26" s="1" t="e">
        <f t="shared" si="2"/>
        <v>#NUM!</v>
      </c>
      <c r="B26" s="1" t="e">
        <f t="shared" si="3"/>
        <v>#NUM!</v>
      </c>
      <c r="C26" s="1" t="e">
        <f t="shared" si="4"/>
        <v>#NUM!</v>
      </c>
      <c r="D26" s="1" t="e">
        <f t="shared" si="5"/>
        <v>#NUM!</v>
      </c>
      <c r="E26" s="1" t="e">
        <f t="shared" si="6"/>
        <v>#NUM!</v>
      </c>
      <c r="F26" s="1" t="e">
        <f t="shared" si="0"/>
        <v>#NUM!</v>
      </c>
      <c r="G26" s="1" t="e">
        <f t="shared" si="1"/>
        <v>#NUM!</v>
      </c>
    </row>
    <row r="27" spans="1:7" x14ac:dyDescent="0.4">
      <c r="A27" s="1" t="e">
        <f t="shared" si="2"/>
        <v>#NUM!</v>
      </c>
      <c r="B27" s="1" t="e">
        <f t="shared" si="3"/>
        <v>#NUM!</v>
      </c>
      <c r="C27" s="1" t="e">
        <f t="shared" si="4"/>
        <v>#NUM!</v>
      </c>
      <c r="D27" s="1" t="e">
        <f t="shared" si="5"/>
        <v>#NUM!</v>
      </c>
      <c r="E27" s="1" t="e">
        <f t="shared" si="6"/>
        <v>#NUM!</v>
      </c>
      <c r="F27" s="1" t="e">
        <f t="shared" si="0"/>
        <v>#NUM!</v>
      </c>
      <c r="G27" s="1" t="e">
        <f t="shared" si="1"/>
        <v>#NUM!</v>
      </c>
    </row>
    <row r="28" spans="1:7" x14ac:dyDescent="0.4">
      <c r="A28" s="1" t="e">
        <f t="shared" si="2"/>
        <v>#NUM!</v>
      </c>
      <c r="B28" s="1" t="e">
        <f t="shared" si="3"/>
        <v>#NUM!</v>
      </c>
      <c r="C28" s="1" t="e">
        <f t="shared" si="4"/>
        <v>#NUM!</v>
      </c>
      <c r="D28" s="1" t="e">
        <f t="shared" si="5"/>
        <v>#NUM!</v>
      </c>
      <c r="E28" s="1" t="e">
        <f t="shared" si="6"/>
        <v>#NUM!</v>
      </c>
      <c r="F28" s="1" t="e">
        <f t="shared" si="0"/>
        <v>#NUM!</v>
      </c>
      <c r="G28" s="1" t="e">
        <f t="shared" si="1"/>
        <v>#NUM!</v>
      </c>
    </row>
    <row r="29" spans="1:7" x14ac:dyDescent="0.4">
      <c r="A29" s="1" t="e">
        <f t="shared" si="2"/>
        <v>#NUM!</v>
      </c>
      <c r="B29" s="1" t="e">
        <f t="shared" si="3"/>
        <v>#NUM!</v>
      </c>
      <c r="C29" s="1" t="e">
        <f t="shared" si="4"/>
        <v>#NUM!</v>
      </c>
      <c r="D29" s="1" t="e">
        <f t="shared" si="5"/>
        <v>#NUM!</v>
      </c>
      <c r="E29" s="1" t="e">
        <f t="shared" si="6"/>
        <v>#NUM!</v>
      </c>
      <c r="F29" s="1" t="e">
        <f t="shared" si="0"/>
        <v>#NUM!</v>
      </c>
      <c r="G29" s="1" t="e">
        <f t="shared" si="1"/>
        <v>#NUM!</v>
      </c>
    </row>
    <row r="30" spans="1:7" x14ac:dyDescent="0.4">
      <c r="A30" s="1" t="e">
        <f t="shared" si="2"/>
        <v>#NUM!</v>
      </c>
      <c r="B30" s="1" t="e">
        <f t="shared" si="3"/>
        <v>#NUM!</v>
      </c>
      <c r="C30" s="1" t="e">
        <f t="shared" si="4"/>
        <v>#NUM!</v>
      </c>
      <c r="D30" s="1" t="e">
        <f t="shared" si="5"/>
        <v>#NUM!</v>
      </c>
      <c r="E30" s="1" t="e">
        <f t="shared" si="6"/>
        <v>#NUM!</v>
      </c>
      <c r="F30" s="1" t="e">
        <f t="shared" si="0"/>
        <v>#NUM!</v>
      </c>
      <c r="G30" s="1" t="e">
        <f t="shared" si="1"/>
        <v>#NUM!</v>
      </c>
    </row>
    <row r="31" spans="1:7" x14ac:dyDescent="0.4">
      <c r="A31" s="1" t="e">
        <f t="shared" si="2"/>
        <v>#NUM!</v>
      </c>
      <c r="B31" s="1" t="e">
        <f t="shared" si="3"/>
        <v>#NUM!</v>
      </c>
      <c r="C31" s="1" t="e">
        <f t="shared" si="4"/>
        <v>#NUM!</v>
      </c>
      <c r="D31" s="1" t="e">
        <f t="shared" si="5"/>
        <v>#NUM!</v>
      </c>
      <c r="E31" s="1" t="e">
        <f t="shared" si="6"/>
        <v>#NUM!</v>
      </c>
      <c r="F31" s="1" t="e">
        <f t="shared" si="0"/>
        <v>#NUM!</v>
      </c>
      <c r="G31" s="1" t="e">
        <f t="shared" si="1"/>
        <v>#NUM!</v>
      </c>
    </row>
    <row r="32" spans="1:7" x14ac:dyDescent="0.4">
      <c r="A32" s="1" t="e">
        <f t="shared" si="2"/>
        <v>#NUM!</v>
      </c>
      <c r="B32" s="1" t="e">
        <f t="shared" si="3"/>
        <v>#NUM!</v>
      </c>
      <c r="C32" s="1" t="e">
        <f t="shared" si="4"/>
        <v>#NUM!</v>
      </c>
      <c r="D32" s="1" t="e">
        <f t="shared" si="5"/>
        <v>#NUM!</v>
      </c>
      <c r="E32" s="1" t="e">
        <f t="shared" si="6"/>
        <v>#NUM!</v>
      </c>
      <c r="F32" s="1" t="e">
        <f t="shared" si="0"/>
        <v>#NUM!</v>
      </c>
      <c r="G32" s="1" t="e">
        <f t="shared" si="1"/>
        <v>#NUM!</v>
      </c>
    </row>
    <row r="33" spans="1:7" x14ac:dyDescent="0.4">
      <c r="A33" s="1" t="e">
        <f t="shared" si="2"/>
        <v>#NUM!</v>
      </c>
      <c r="B33" s="1" t="e">
        <f t="shared" si="3"/>
        <v>#NUM!</v>
      </c>
      <c r="C33" s="1" t="e">
        <f t="shared" si="4"/>
        <v>#NUM!</v>
      </c>
      <c r="D33" s="1" t="e">
        <f t="shared" si="5"/>
        <v>#NUM!</v>
      </c>
      <c r="E33" s="1" t="e">
        <f t="shared" si="6"/>
        <v>#NUM!</v>
      </c>
      <c r="F33" s="1" t="e">
        <f t="shared" si="0"/>
        <v>#NUM!</v>
      </c>
      <c r="G33" s="1" t="e">
        <f t="shared" si="1"/>
        <v>#NUM!</v>
      </c>
    </row>
    <row r="34" spans="1:7" x14ac:dyDescent="0.4">
      <c r="A34" s="1" t="e">
        <f t="shared" si="2"/>
        <v>#NUM!</v>
      </c>
      <c r="B34" s="1" t="e">
        <f t="shared" si="3"/>
        <v>#NUM!</v>
      </c>
      <c r="C34" s="1" t="e">
        <f t="shared" si="4"/>
        <v>#NUM!</v>
      </c>
      <c r="D34" s="1" t="e">
        <f t="shared" si="5"/>
        <v>#NUM!</v>
      </c>
      <c r="E34" s="1" t="e">
        <f t="shared" si="6"/>
        <v>#NUM!</v>
      </c>
      <c r="F34" s="1" t="e">
        <f t="shared" si="0"/>
        <v>#NUM!</v>
      </c>
      <c r="G34" s="1" t="e">
        <f t="shared" si="1"/>
        <v>#NUM!</v>
      </c>
    </row>
    <row r="35" spans="1:7" x14ac:dyDescent="0.4">
      <c r="A35" s="1" t="e">
        <f t="shared" si="2"/>
        <v>#NUM!</v>
      </c>
      <c r="B35" s="1" t="e">
        <f t="shared" si="3"/>
        <v>#NUM!</v>
      </c>
      <c r="C35" s="1" t="e">
        <f t="shared" si="4"/>
        <v>#NUM!</v>
      </c>
      <c r="D35" s="1" t="e">
        <f t="shared" si="5"/>
        <v>#NUM!</v>
      </c>
      <c r="E35" s="1" t="e">
        <f t="shared" si="6"/>
        <v>#NUM!</v>
      </c>
      <c r="F35" s="1" t="e">
        <f t="shared" si="0"/>
        <v>#NUM!</v>
      </c>
      <c r="G35" s="1" t="e">
        <f t="shared" si="1"/>
        <v>#NUM!</v>
      </c>
    </row>
    <row r="36" spans="1:7" x14ac:dyDescent="0.4">
      <c r="A36" s="1" t="e">
        <f t="shared" si="2"/>
        <v>#NUM!</v>
      </c>
      <c r="B36" s="1" t="e">
        <f t="shared" si="3"/>
        <v>#NUM!</v>
      </c>
      <c r="C36" s="1" t="e">
        <f t="shared" si="4"/>
        <v>#NUM!</v>
      </c>
      <c r="D36" s="1" t="e">
        <f t="shared" si="5"/>
        <v>#NUM!</v>
      </c>
      <c r="E36" s="1" t="e">
        <f t="shared" si="6"/>
        <v>#NUM!</v>
      </c>
      <c r="F36" s="1" t="e">
        <f t="shared" si="0"/>
        <v>#NUM!</v>
      </c>
      <c r="G36" s="1" t="e">
        <f t="shared" si="1"/>
        <v>#NUM!</v>
      </c>
    </row>
    <row r="37" spans="1:7" x14ac:dyDescent="0.4">
      <c r="A37" s="1" t="e">
        <f t="shared" si="2"/>
        <v>#NUM!</v>
      </c>
      <c r="B37" s="1" t="e">
        <f t="shared" si="3"/>
        <v>#NUM!</v>
      </c>
      <c r="C37" s="1" t="e">
        <f t="shared" si="4"/>
        <v>#NUM!</v>
      </c>
      <c r="D37" s="1" t="e">
        <f t="shared" si="5"/>
        <v>#NUM!</v>
      </c>
      <c r="E37" s="1" t="e">
        <f t="shared" si="6"/>
        <v>#NUM!</v>
      </c>
      <c r="F37" s="1" t="e">
        <f t="shared" si="0"/>
        <v>#NUM!</v>
      </c>
      <c r="G37" s="1" t="e">
        <f t="shared" si="1"/>
        <v>#NUM!</v>
      </c>
    </row>
    <row r="38" spans="1:7" x14ac:dyDescent="0.4">
      <c r="A38" s="1" t="e">
        <f t="shared" si="2"/>
        <v>#NUM!</v>
      </c>
      <c r="B38" s="1" t="e">
        <f t="shared" si="3"/>
        <v>#NUM!</v>
      </c>
      <c r="C38" s="1" t="e">
        <f t="shared" si="4"/>
        <v>#NUM!</v>
      </c>
      <c r="D38" s="1" t="e">
        <f t="shared" si="5"/>
        <v>#NUM!</v>
      </c>
      <c r="E38" s="1" t="e">
        <f t="shared" si="6"/>
        <v>#NUM!</v>
      </c>
      <c r="F38" s="1" t="e">
        <f t="shared" si="0"/>
        <v>#NUM!</v>
      </c>
      <c r="G38" s="1" t="e">
        <f t="shared" si="1"/>
        <v>#NUM!</v>
      </c>
    </row>
    <row r="39" spans="1:7" x14ac:dyDescent="0.4">
      <c r="A39" s="1" t="e">
        <f t="shared" si="2"/>
        <v>#NUM!</v>
      </c>
      <c r="B39" s="1" t="e">
        <f t="shared" si="3"/>
        <v>#NUM!</v>
      </c>
      <c r="C39" s="1" t="e">
        <f t="shared" si="4"/>
        <v>#NUM!</v>
      </c>
      <c r="D39" s="1" t="e">
        <f t="shared" si="5"/>
        <v>#NUM!</v>
      </c>
      <c r="E39" s="1" t="e">
        <f t="shared" si="6"/>
        <v>#NUM!</v>
      </c>
      <c r="F39" s="1" t="e">
        <f t="shared" si="0"/>
        <v>#NUM!</v>
      </c>
      <c r="G39" s="1" t="e">
        <f t="shared" si="1"/>
        <v>#NUM!</v>
      </c>
    </row>
    <row r="40" spans="1:7" x14ac:dyDescent="0.4">
      <c r="A40" s="1" t="e">
        <f t="shared" si="2"/>
        <v>#NUM!</v>
      </c>
      <c r="B40" s="1" t="e">
        <f t="shared" si="3"/>
        <v>#NUM!</v>
      </c>
      <c r="C40" s="1" t="e">
        <f t="shared" si="4"/>
        <v>#NUM!</v>
      </c>
      <c r="D40" s="1" t="e">
        <f t="shared" si="5"/>
        <v>#NUM!</v>
      </c>
      <c r="E40" s="1" t="e">
        <f t="shared" si="6"/>
        <v>#NUM!</v>
      </c>
      <c r="F40" s="1" t="e">
        <f t="shared" si="0"/>
        <v>#NUM!</v>
      </c>
      <c r="G40" s="1" t="e">
        <f t="shared" si="1"/>
        <v>#NUM!</v>
      </c>
    </row>
    <row r="41" spans="1:7" x14ac:dyDescent="0.4">
      <c r="A41" s="1" t="e">
        <f t="shared" si="2"/>
        <v>#NUM!</v>
      </c>
      <c r="B41" s="1" t="e">
        <f t="shared" si="3"/>
        <v>#NUM!</v>
      </c>
      <c r="C41" s="1" t="e">
        <f t="shared" si="4"/>
        <v>#NUM!</v>
      </c>
      <c r="D41" s="1" t="e">
        <f t="shared" si="5"/>
        <v>#NUM!</v>
      </c>
      <c r="E41" s="1" t="e">
        <f t="shared" si="6"/>
        <v>#NUM!</v>
      </c>
      <c r="F41" s="1" t="e">
        <f t="shared" si="0"/>
        <v>#NUM!</v>
      </c>
      <c r="G41" s="1" t="e">
        <f t="shared" si="1"/>
        <v>#NUM!</v>
      </c>
    </row>
    <row r="42" spans="1:7" x14ac:dyDescent="0.4">
      <c r="A42" s="1" t="e">
        <f t="shared" si="2"/>
        <v>#NUM!</v>
      </c>
      <c r="B42" s="1" t="e">
        <f t="shared" si="3"/>
        <v>#NUM!</v>
      </c>
      <c r="C42" s="1" t="e">
        <f t="shared" si="4"/>
        <v>#NUM!</v>
      </c>
      <c r="D42" s="1" t="e">
        <f t="shared" si="5"/>
        <v>#NUM!</v>
      </c>
      <c r="E42" s="1" t="e">
        <f t="shared" si="6"/>
        <v>#NUM!</v>
      </c>
      <c r="F42" s="1" t="e">
        <f t="shared" si="0"/>
        <v>#NUM!</v>
      </c>
      <c r="G42" s="1" t="e">
        <f t="shared" si="1"/>
        <v>#NUM!</v>
      </c>
    </row>
    <row r="43" spans="1:7" x14ac:dyDescent="0.4">
      <c r="A43" s="1" t="e">
        <f t="shared" si="2"/>
        <v>#NUM!</v>
      </c>
      <c r="B43" s="1" t="e">
        <f t="shared" si="3"/>
        <v>#NUM!</v>
      </c>
      <c r="C43" s="1" t="e">
        <f t="shared" si="4"/>
        <v>#NUM!</v>
      </c>
      <c r="D43" s="1" t="e">
        <f t="shared" si="5"/>
        <v>#NUM!</v>
      </c>
      <c r="E43" s="1" t="e">
        <f t="shared" si="6"/>
        <v>#NUM!</v>
      </c>
      <c r="F43" s="1" t="e">
        <f t="shared" si="0"/>
        <v>#NUM!</v>
      </c>
      <c r="G43" s="1" t="e">
        <f t="shared" si="1"/>
        <v>#NUM!</v>
      </c>
    </row>
    <row r="44" spans="1:7" x14ac:dyDescent="0.4">
      <c r="A44" s="1" t="e">
        <f t="shared" si="2"/>
        <v>#NUM!</v>
      </c>
      <c r="B44" s="1" t="e">
        <f t="shared" si="3"/>
        <v>#NUM!</v>
      </c>
      <c r="C44" s="1" t="e">
        <f t="shared" si="4"/>
        <v>#NUM!</v>
      </c>
      <c r="D44" s="1" t="e">
        <f t="shared" si="5"/>
        <v>#NUM!</v>
      </c>
      <c r="E44" s="1" t="e">
        <f t="shared" si="6"/>
        <v>#NUM!</v>
      </c>
      <c r="F44" s="1" t="e">
        <f t="shared" si="0"/>
        <v>#NUM!</v>
      </c>
      <c r="G44" s="1" t="e">
        <f t="shared" si="1"/>
        <v>#NUM!</v>
      </c>
    </row>
    <row r="45" spans="1:7" x14ac:dyDescent="0.4">
      <c r="A45" s="1" t="e">
        <f t="shared" si="2"/>
        <v>#NUM!</v>
      </c>
      <c r="B45" s="1" t="e">
        <f t="shared" si="3"/>
        <v>#NUM!</v>
      </c>
      <c r="C45" s="1" t="e">
        <f t="shared" si="4"/>
        <v>#NUM!</v>
      </c>
      <c r="D45" s="1" t="e">
        <f t="shared" si="5"/>
        <v>#NUM!</v>
      </c>
      <c r="E45" s="1" t="e">
        <f t="shared" si="6"/>
        <v>#NUM!</v>
      </c>
      <c r="F45" s="1" t="e">
        <f t="shared" si="0"/>
        <v>#NUM!</v>
      </c>
      <c r="G45" s="1" t="e">
        <f t="shared" si="1"/>
        <v>#NUM!</v>
      </c>
    </row>
    <row r="46" spans="1:7" x14ac:dyDescent="0.4">
      <c r="A46" s="1" t="e">
        <f t="shared" si="2"/>
        <v>#NUM!</v>
      </c>
      <c r="B46" s="1" t="e">
        <f t="shared" si="3"/>
        <v>#NUM!</v>
      </c>
      <c r="C46" s="1" t="e">
        <f t="shared" si="4"/>
        <v>#NUM!</v>
      </c>
      <c r="D46" s="1" t="e">
        <f t="shared" si="5"/>
        <v>#NUM!</v>
      </c>
      <c r="E46" s="1" t="e">
        <f t="shared" si="6"/>
        <v>#NUM!</v>
      </c>
      <c r="F46" s="1" t="e">
        <f t="shared" si="0"/>
        <v>#NUM!</v>
      </c>
      <c r="G46" s="1" t="e">
        <f t="shared" si="1"/>
        <v>#NUM!</v>
      </c>
    </row>
    <row r="47" spans="1:7" x14ac:dyDescent="0.4">
      <c r="A47" s="1" t="e">
        <f t="shared" si="2"/>
        <v>#NUM!</v>
      </c>
      <c r="B47" s="1" t="e">
        <f t="shared" si="3"/>
        <v>#NUM!</v>
      </c>
      <c r="C47" s="1" t="e">
        <f t="shared" si="4"/>
        <v>#NUM!</v>
      </c>
      <c r="D47" s="1" t="e">
        <f t="shared" si="5"/>
        <v>#NUM!</v>
      </c>
      <c r="E47" s="1" t="e">
        <f t="shared" si="6"/>
        <v>#NUM!</v>
      </c>
      <c r="F47" s="1" t="e">
        <f t="shared" si="0"/>
        <v>#NUM!</v>
      </c>
      <c r="G47" s="1" t="e">
        <f t="shared" si="1"/>
        <v>#NUM!</v>
      </c>
    </row>
    <row r="48" spans="1:7" x14ac:dyDescent="0.4">
      <c r="A48" s="1" t="e">
        <f t="shared" si="2"/>
        <v>#NUM!</v>
      </c>
      <c r="B48" s="1" t="e">
        <f t="shared" si="3"/>
        <v>#NUM!</v>
      </c>
      <c r="C48" s="1" t="e">
        <f t="shared" si="4"/>
        <v>#NUM!</v>
      </c>
      <c r="D48" s="1" t="e">
        <f t="shared" si="5"/>
        <v>#NUM!</v>
      </c>
      <c r="E48" s="1" t="e">
        <f t="shared" si="6"/>
        <v>#NUM!</v>
      </c>
      <c r="F48" s="1" t="e">
        <f t="shared" si="0"/>
        <v>#NUM!</v>
      </c>
      <c r="G48" s="1" t="e">
        <f t="shared" si="1"/>
        <v>#NUM!</v>
      </c>
    </row>
    <row r="49" spans="1:7" x14ac:dyDescent="0.4">
      <c r="A49" s="1" t="e">
        <f t="shared" si="2"/>
        <v>#NUM!</v>
      </c>
      <c r="B49" s="1" t="e">
        <f t="shared" si="3"/>
        <v>#NUM!</v>
      </c>
      <c r="C49" s="1" t="e">
        <f t="shared" si="4"/>
        <v>#NUM!</v>
      </c>
      <c r="D49" s="1" t="e">
        <f t="shared" si="5"/>
        <v>#NUM!</v>
      </c>
      <c r="E49" s="1" t="e">
        <f t="shared" si="6"/>
        <v>#NUM!</v>
      </c>
      <c r="F49" s="1" t="e">
        <f t="shared" si="0"/>
        <v>#NUM!</v>
      </c>
      <c r="G49" s="1" t="e">
        <f t="shared" si="1"/>
        <v>#NUM!</v>
      </c>
    </row>
    <row r="50" spans="1:7" x14ac:dyDescent="0.4">
      <c r="A50" s="1" t="e">
        <f t="shared" si="2"/>
        <v>#NUM!</v>
      </c>
      <c r="B50" s="1" t="e">
        <f t="shared" si="3"/>
        <v>#NUM!</v>
      </c>
      <c r="C50" s="1" t="e">
        <f t="shared" si="4"/>
        <v>#NUM!</v>
      </c>
      <c r="D50" s="1" t="e">
        <f t="shared" si="5"/>
        <v>#NUM!</v>
      </c>
      <c r="E50" s="1" t="e">
        <f t="shared" si="6"/>
        <v>#NUM!</v>
      </c>
      <c r="F50" s="1" t="e">
        <f t="shared" si="0"/>
        <v>#NUM!</v>
      </c>
      <c r="G50" s="1" t="e">
        <f t="shared" si="1"/>
        <v>#NUM!</v>
      </c>
    </row>
    <row r="51" spans="1:7" x14ac:dyDescent="0.4">
      <c r="A51" s="1" t="e">
        <f t="shared" si="2"/>
        <v>#NUM!</v>
      </c>
      <c r="B51" s="1" t="e">
        <f t="shared" si="3"/>
        <v>#NUM!</v>
      </c>
      <c r="C51" s="1" t="e">
        <f t="shared" si="4"/>
        <v>#NUM!</v>
      </c>
      <c r="D51" s="1" t="e">
        <f t="shared" si="5"/>
        <v>#NUM!</v>
      </c>
      <c r="E51" s="1" t="e">
        <f t="shared" si="6"/>
        <v>#NUM!</v>
      </c>
      <c r="F51" s="1" t="e">
        <f t="shared" si="0"/>
        <v>#NUM!</v>
      </c>
      <c r="G51" s="1" t="e">
        <f t="shared" si="1"/>
        <v>#NUM!</v>
      </c>
    </row>
    <row r="52" spans="1:7" x14ac:dyDescent="0.4">
      <c r="A52" s="1" t="e">
        <f t="shared" si="2"/>
        <v>#NUM!</v>
      </c>
      <c r="B52" s="1" t="e">
        <f t="shared" si="3"/>
        <v>#NUM!</v>
      </c>
      <c r="C52" s="1" t="e">
        <f t="shared" si="4"/>
        <v>#NUM!</v>
      </c>
      <c r="D52" s="1" t="e">
        <f t="shared" si="5"/>
        <v>#NUM!</v>
      </c>
      <c r="E52" s="1" t="e">
        <f t="shared" si="6"/>
        <v>#NUM!</v>
      </c>
      <c r="F52" s="1" t="e">
        <f t="shared" si="0"/>
        <v>#NUM!</v>
      </c>
      <c r="G52" s="1" t="e">
        <f t="shared" si="1"/>
        <v>#NUM!</v>
      </c>
    </row>
    <row r="53" spans="1:7" x14ac:dyDescent="0.4">
      <c r="A53" s="1" t="e">
        <f t="shared" si="2"/>
        <v>#NUM!</v>
      </c>
      <c r="B53" s="1" t="e">
        <f t="shared" si="3"/>
        <v>#NUM!</v>
      </c>
      <c r="C53" s="1" t="e">
        <f t="shared" si="4"/>
        <v>#NUM!</v>
      </c>
      <c r="D53" s="1" t="e">
        <f t="shared" si="5"/>
        <v>#NUM!</v>
      </c>
      <c r="E53" s="1" t="e">
        <f t="shared" si="6"/>
        <v>#NUM!</v>
      </c>
      <c r="F53" s="1" t="e">
        <f t="shared" si="0"/>
        <v>#NUM!</v>
      </c>
      <c r="G53" s="1" t="e">
        <f t="shared" si="1"/>
        <v>#NUM!</v>
      </c>
    </row>
    <row r="54" spans="1:7" x14ac:dyDescent="0.4">
      <c r="A54" s="1" t="e">
        <f t="shared" si="2"/>
        <v>#NUM!</v>
      </c>
      <c r="B54" s="1" t="e">
        <f t="shared" si="3"/>
        <v>#NUM!</v>
      </c>
      <c r="C54" s="1" t="e">
        <f t="shared" si="4"/>
        <v>#NUM!</v>
      </c>
      <c r="D54" s="1" t="e">
        <f t="shared" si="5"/>
        <v>#NUM!</v>
      </c>
      <c r="E54" s="1" t="e">
        <f t="shared" si="6"/>
        <v>#NUM!</v>
      </c>
      <c r="F54" s="1" t="e">
        <f t="shared" si="0"/>
        <v>#NUM!</v>
      </c>
      <c r="G54" s="1" t="e">
        <f t="shared" si="1"/>
        <v>#NUM!</v>
      </c>
    </row>
    <row r="55" spans="1:7" x14ac:dyDescent="0.4">
      <c r="A55" s="1" t="e">
        <f t="shared" si="2"/>
        <v>#NUM!</v>
      </c>
      <c r="B55" s="1" t="e">
        <f t="shared" si="3"/>
        <v>#NUM!</v>
      </c>
      <c r="C55" s="1" t="e">
        <f t="shared" si="4"/>
        <v>#NUM!</v>
      </c>
      <c r="D55" s="1" t="e">
        <f t="shared" si="5"/>
        <v>#NUM!</v>
      </c>
      <c r="E55" s="1" t="e">
        <f t="shared" si="6"/>
        <v>#NUM!</v>
      </c>
      <c r="F55" s="1" t="e">
        <f t="shared" si="0"/>
        <v>#NUM!</v>
      </c>
      <c r="G55" s="1" t="e">
        <f t="shared" si="1"/>
        <v>#NUM!</v>
      </c>
    </row>
    <row r="56" spans="1:7" x14ac:dyDescent="0.4">
      <c r="A56" s="1" t="e">
        <f t="shared" si="2"/>
        <v>#NUM!</v>
      </c>
      <c r="B56" s="1" t="e">
        <f t="shared" si="3"/>
        <v>#NUM!</v>
      </c>
      <c r="C56" s="1" t="e">
        <f t="shared" si="4"/>
        <v>#NUM!</v>
      </c>
      <c r="D56" s="1" t="e">
        <f t="shared" si="5"/>
        <v>#NUM!</v>
      </c>
      <c r="E56" s="1" t="e">
        <f t="shared" si="6"/>
        <v>#NUM!</v>
      </c>
      <c r="F56" s="1" t="e">
        <f t="shared" si="0"/>
        <v>#NUM!</v>
      </c>
      <c r="G56" s="1" t="e">
        <f t="shared" si="1"/>
        <v>#NUM!</v>
      </c>
    </row>
    <row r="57" spans="1:7" x14ac:dyDescent="0.4">
      <c r="A57" s="1" t="e">
        <f t="shared" si="2"/>
        <v>#NUM!</v>
      </c>
      <c r="B57" s="1" t="e">
        <f t="shared" si="3"/>
        <v>#NUM!</v>
      </c>
      <c r="C57" s="1" t="e">
        <f t="shared" si="4"/>
        <v>#NUM!</v>
      </c>
      <c r="D57" s="1" t="e">
        <f t="shared" si="5"/>
        <v>#NUM!</v>
      </c>
      <c r="E57" s="1" t="e">
        <f t="shared" si="6"/>
        <v>#NUM!</v>
      </c>
      <c r="F57" s="1" t="e">
        <f t="shared" si="0"/>
        <v>#NUM!</v>
      </c>
      <c r="G57" s="1" t="e">
        <f t="shared" si="1"/>
        <v>#NUM!</v>
      </c>
    </row>
    <row r="58" spans="1:7" x14ac:dyDescent="0.4">
      <c r="A58" s="1" t="e">
        <f t="shared" si="2"/>
        <v>#NUM!</v>
      </c>
      <c r="B58" s="1" t="e">
        <f t="shared" si="3"/>
        <v>#NUM!</v>
      </c>
      <c r="C58" s="1" t="e">
        <f t="shared" si="4"/>
        <v>#NUM!</v>
      </c>
      <c r="D58" s="1" t="e">
        <f t="shared" si="5"/>
        <v>#NUM!</v>
      </c>
      <c r="E58" s="1" t="e">
        <f t="shared" si="6"/>
        <v>#NUM!</v>
      </c>
      <c r="F58" s="1" t="e">
        <f t="shared" si="0"/>
        <v>#NUM!</v>
      </c>
      <c r="G58" s="1" t="e">
        <f t="shared" si="1"/>
        <v>#NUM!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B379-9A4A-4964-B3D0-D679FC0D1EB7}">
  <dimension ref="A1:J58"/>
  <sheetViews>
    <sheetView workbookViewId="0">
      <selection activeCell="F2" sqref="F2"/>
    </sheetView>
  </sheetViews>
  <sheetFormatPr defaultRowHeight="18.75" x14ac:dyDescent="0.4"/>
  <cols>
    <col min="1" max="1" width="6.125" style="1" bestFit="1" customWidth="1"/>
    <col min="2" max="2" width="8.125" style="1" bestFit="1" customWidth="1"/>
    <col min="3" max="5" width="7.125" style="1" bestFit="1" customWidth="1"/>
    <col min="6" max="6" width="6" style="1" bestFit="1" customWidth="1"/>
    <col min="7" max="7" width="6.125" style="1" customWidth="1"/>
    <col min="9" max="9" width="7.875" bestFit="1" customWidth="1"/>
    <col min="10" max="10" width="9.375" bestFit="1" customWidth="1"/>
  </cols>
  <sheetData>
    <row r="1" spans="1:10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/>
    </row>
    <row r="2" spans="1:10" x14ac:dyDescent="0.4">
      <c r="A2" s="3">
        <v>10</v>
      </c>
      <c r="B2" s="1">
        <f>A2^4-16*A2^3+88*A2^2-190*A2+144</f>
        <v>1044</v>
      </c>
      <c r="C2" s="1">
        <f>4*A2^3-48*A2^2+176*A2-190</f>
        <v>770</v>
      </c>
      <c r="D2" s="1">
        <f>12*A2^2-96*A2+176</f>
        <v>416</v>
      </c>
      <c r="E2" s="1">
        <f>C2</f>
        <v>770</v>
      </c>
      <c r="F2" s="1">
        <f>ABS(-C2/D2)</f>
        <v>1.8509615384615385</v>
      </c>
      <c r="G2" s="1">
        <f>A2-E2*F2</f>
        <v>-1415.2403846153848</v>
      </c>
    </row>
    <row r="3" spans="1:10" x14ac:dyDescent="0.4">
      <c r="A3" s="1">
        <f>G2</f>
        <v>-1415.2403846153848</v>
      </c>
      <c r="B3" s="1">
        <f>A3^4-16*A3^3+88*A3^2-190*A3+144</f>
        <v>4057159831253.2793</v>
      </c>
      <c r="C3" s="1">
        <f>4*A3^3-48*A3^2+176*A3-190</f>
        <v>-11434758859.206823</v>
      </c>
      <c r="D3" s="1">
        <f>12*A3^2-96*A3+176</f>
        <v>24170903.231878702</v>
      </c>
      <c r="E3" s="1">
        <f>C3</f>
        <v>-11434758859.206823</v>
      </c>
      <c r="F3" s="1">
        <f t="shared" ref="F3:F58" si="0">ABS(-C3/D3)</f>
        <v>473.07950180883864</v>
      </c>
      <c r="G3" s="1">
        <f t="shared" ref="G3:G20" si="1">A3-E3*F3</f>
        <v>5409550023002.5283</v>
      </c>
    </row>
    <row r="4" spans="1:10" ht="19.5" thickBot="1" x14ac:dyDescent="0.45">
      <c r="A4" s="1">
        <f>G3</f>
        <v>5409550023002.5283</v>
      </c>
      <c r="B4" s="1">
        <f>A4^4-16*A4^3+88*A4^2-190*A4+144</f>
        <v>8.5633671497372183E+50</v>
      </c>
      <c r="C4" s="1">
        <f>4*A4^3-48*A4^2+176*A4-190</f>
        <v>6.332036574820706E+38</v>
      </c>
      <c r="D4" s="1">
        <f>12*A4^2-96*A4+176</f>
        <v>3.5115877741588056E+26</v>
      </c>
      <c r="E4" s="1">
        <f>C4</f>
        <v>6.332036574820706E+38</v>
      </c>
      <c r="F4" s="1">
        <f t="shared" si="0"/>
        <v>1803183340999.5095</v>
      </c>
      <c r="G4" s="1">
        <f t="shared" si="1"/>
        <v>-1.1417822866316292E+51</v>
      </c>
    </row>
    <row r="5" spans="1:10" ht="37.5" x14ac:dyDescent="0.4">
      <c r="A5" s="1">
        <f>G4</f>
        <v>-1.1417822866316292E+51</v>
      </c>
      <c r="B5" s="1">
        <f>A5^4-16*A5^3+88*A5^2-190*A5+144</f>
        <v>1.6995470995203416E+204</v>
      </c>
      <c r="C5" s="1">
        <f>4*A5^3-48*A5^2+176*A5-190</f>
        <v>-5.9540145942679619E+153</v>
      </c>
      <c r="D5" s="1">
        <f>12*A5^2-96*A5+176</f>
        <v>1.5644001480789024E+103</v>
      </c>
      <c r="E5" s="1">
        <f>C5</f>
        <v>-5.9540145942679619E+153</v>
      </c>
      <c r="F5" s="1">
        <f t="shared" si="0"/>
        <v>3.8059409554387638E+50</v>
      </c>
      <c r="G5" s="1">
        <f t="shared" si="1"/>
        <v>2.2660627993604551E+204</v>
      </c>
      <c r="I5" s="10" t="s">
        <v>9</v>
      </c>
      <c r="J5" s="11" t="s">
        <v>8</v>
      </c>
    </row>
    <row r="6" spans="1:10" x14ac:dyDescent="0.4">
      <c r="A6" s="1">
        <f t="shared" ref="A6:A20" si="2">G5</f>
        <v>2.2660627993604551E+204</v>
      </c>
      <c r="B6" s="1" t="e">
        <f t="shared" ref="B6:B58" si="3">A6^4-16*A6^3+88*A6^2-190*A6+144</f>
        <v>#NUM!</v>
      </c>
      <c r="C6" s="1" t="e">
        <f t="shared" ref="C6:C20" si="4">4*A6^3-48*A6^2+176*A6-190</f>
        <v>#NUM!</v>
      </c>
      <c r="D6" s="1" t="e">
        <f t="shared" ref="D6:D20" si="5">12*A6^2-96*A6+176</f>
        <v>#NUM!</v>
      </c>
      <c r="E6" s="1" t="e">
        <f t="shared" ref="E6:E20" si="6">C6</f>
        <v>#NUM!</v>
      </c>
      <c r="F6" s="1" t="e">
        <f t="shared" si="0"/>
        <v>#NUM!</v>
      </c>
      <c r="G6" s="1" t="e">
        <f t="shared" si="1"/>
        <v>#NUM!</v>
      </c>
      <c r="I6" s="26" t="s">
        <v>11</v>
      </c>
      <c r="J6" s="27" t="s">
        <v>10</v>
      </c>
    </row>
    <row r="7" spans="1:10" x14ac:dyDescent="0.4">
      <c r="A7" s="1" t="e">
        <f t="shared" si="2"/>
        <v>#NUM!</v>
      </c>
      <c r="B7" s="1" t="e">
        <f t="shared" si="3"/>
        <v>#NUM!</v>
      </c>
      <c r="C7" s="1" t="e">
        <f t="shared" si="4"/>
        <v>#NUM!</v>
      </c>
      <c r="D7" s="1" t="e">
        <f t="shared" si="5"/>
        <v>#NUM!</v>
      </c>
      <c r="E7" s="1" t="e">
        <f t="shared" si="6"/>
        <v>#NUM!</v>
      </c>
      <c r="F7" s="1" t="e">
        <f t="shared" si="0"/>
        <v>#NUM!</v>
      </c>
      <c r="G7" s="1" t="e">
        <f t="shared" si="1"/>
        <v>#NUM!</v>
      </c>
      <c r="I7" s="26" t="s">
        <v>12</v>
      </c>
      <c r="J7" s="27" t="s">
        <v>10</v>
      </c>
    </row>
    <row r="8" spans="1:10" x14ac:dyDescent="0.4">
      <c r="A8" s="1" t="e">
        <f t="shared" si="2"/>
        <v>#NUM!</v>
      </c>
      <c r="B8" s="1" t="e">
        <f t="shared" si="3"/>
        <v>#NUM!</v>
      </c>
      <c r="C8" s="1" t="e">
        <f t="shared" si="4"/>
        <v>#NUM!</v>
      </c>
      <c r="D8" s="1" t="e">
        <f t="shared" si="5"/>
        <v>#NUM!</v>
      </c>
      <c r="E8" s="1" t="e">
        <f t="shared" si="6"/>
        <v>#NUM!</v>
      </c>
      <c r="F8" s="1" t="e">
        <f t="shared" si="0"/>
        <v>#NUM!</v>
      </c>
      <c r="G8" s="1" t="e">
        <f t="shared" si="1"/>
        <v>#NUM!</v>
      </c>
      <c r="I8" s="26">
        <v>3</v>
      </c>
      <c r="J8" s="27" t="s">
        <v>10</v>
      </c>
    </row>
    <row r="9" spans="1:10" x14ac:dyDescent="0.4">
      <c r="A9" s="1" t="e">
        <f t="shared" si="2"/>
        <v>#NUM!</v>
      </c>
      <c r="B9" s="1" t="e">
        <f t="shared" si="3"/>
        <v>#NUM!</v>
      </c>
      <c r="C9" s="1" t="e">
        <f t="shared" si="4"/>
        <v>#NUM!</v>
      </c>
      <c r="D9" s="1" t="e">
        <f t="shared" si="5"/>
        <v>#NUM!</v>
      </c>
      <c r="E9" s="1" t="e">
        <f t="shared" si="6"/>
        <v>#NUM!</v>
      </c>
      <c r="F9" s="1" t="e">
        <f t="shared" si="0"/>
        <v>#NUM!</v>
      </c>
      <c r="G9" s="1" t="e">
        <f t="shared" si="1"/>
        <v>#NUM!</v>
      </c>
      <c r="I9" s="26">
        <v>4</v>
      </c>
      <c r="J9" s="27" t="s">
        <v>10</v>
      </c>
    </row>
    <row r="10" spans="1:10" x14ac:dyDescent="0.4">
      <c r="A10" s="1" t="e">
        <f t="shared" si="2"/>
        <v>#NUM!</v>
      </c>
      <c r="B10" s="1" t="e">
        <f t="shared" si="3"/>
        <v>#NUM!</v>
      </c>
      <c r="C10" s="1" t="e">
        <f t="shared" si="4"/>
        <v>#NUM!</v>
      </c>
      <c r="D10" s="1" t="e">
        <f t="shared" si="5"/>
        <v>#NUM!</v>
      </c>
      <c r="E10" s="1" t="e">
        <f t="shared" si="6"/>
        <v>#NUM!</v>
      </c>
      <c r="F10" s="1" t="e">
        <f t="shared" si="0"/>
        <v>#NUM!</v>
      </c>
      <c r="G10" s="1" t="e">
        <f t="shared" si="1"/>
        <v>#NUM!</v>
      </c>
      <c r="I10" s="26">
        <v>5</v>
      </c>
      <c r="J10" s="27" t="s">
        <v>10</v>
      </c>
    </row>
    <row r="11" spans="1:10" x14ac:dyDescent="0.4">
      <c r="A11" s="1" t="e">
        <f t="shared" si="2"/>
        <v>#NUM!</v>
      </c>
      <c r="B11" s="1" t="e">
        <f t="shared" si="3"/>
        <v>#NUM!</v>
      </c>
      <c r="C11" s="1" t="e">
        <f t="shared" si="4"/>
        <v>#NUM!</v>
      </c>
      <c r="D11" s="1" t="e">
        <f t="shared" si="5"/>
        <v>#NUM!</v>
      </c>
      <c r="E11" s="1" t="e">
        <f t="shared" si="6"/>
        <v>#NUM!</v>
      </c>
      <c r="F11" s="1" t="e">
        <f t="shared" si="0"/>
        <v>#NUM!</v>
      </c>
      <c r="G11" s="1" t="e">
        <f t="shared" si="1"/>
        <v>#NUM!</v>
      </c>
      <c r="I11" s="24">
        <v>6</v>
      </c>
      <c r="J11" s="25">
        <v>5.93</v>
      </c>
    </row>
    <row r="12" spans="1:10" x14ac:dyDescent="0.4">
      <c r="A12" s="1" t="e">
        <f t="shared" si="2"/>
        <v>#NUM!</v>
      </c>
      <c r="B12" s="1" t="e">
        <f t="shared" si="3"/>
        <v>#NUM!</v>
      </c>
      <c r="C12" s="1" t="e">
        <f t="shared" si="4"/>
        <v>#NUM!</v>
      </c>
      <c r="D12" s="1" t="e">
        <f t="shared" si="5"/>
        <v>#NUM!</v>
      </c>
      <c r="E12" s="1" t="e">
        <f t="shared" si="6"/>
        <v>#NUM!</v>
      </c>
      <c r="F12" s="1" t="e">
        <f t="shared" si="0"/>
        <v>#NUM!</v>
      </c>
      <c r="G12" s="1" t="e">
        <f t="shared" si="1"/>
        <v>#NUM!</v>
      </c>
      <c r="I12" s="26">
        <v>7</v>
      </c>
      <c r="J12" s="27" t="s">
        <v>10</v>
      </c>
    </row>
    <row r="13" spans="1:10" x14ac:dyDescent="0.4">
      <c r="A13" s="1" t="e">
        <f t="shared" si="2"/>
        <v>#NUM!</v>
      </c>
      <c r="B13" s="1" t="e">
        <f t="shared" si="3"/>
        <v>#NUM!</v>
      </c>
      <c r="C13" s="1" t="e">
        <f t="shared" si="4"/>
        <v>#NUM!</v>
      </c>
      <c r="D13" s="1" t="e">
        <f t="shared" si="5"/>
        <v>#NUM!</v>
      </c>
      <c r="E13" s="1" t="e">
        <f t="shared" si="6"/>
        <v>#NUM!</v>
      </c>
      <c r="F13" s="1" t="e">
        <f t="shared" si="0"/>
        <v>#NUM!</v>
      </c>
      <c r="G13" s="1" t="e">
        <f t="shared" si="1"/>
        <v>#NUM!</v>
      </c>
      <c r="I13" s="26">
        <v>8</v>
      </c>
      <c r="J13" s="27" t="s">
        <v>10</v>
      </c>
    </row>
    <row r="14" spans="1:10" x14ac:dyDescent="0.4">
      <c r="A14" s="1" t="e">
        <f t="shared" si="2"/>
        <v>#NUM!</v>
      </c>
      <c r="B14" s="1" t="e">
        <f t="shared" si="3"/>
        <v>#NUM!</v>
      </c>
      <c r="C14" s="1" t="e">
        <f t="shared" si="4"/>
        <v>#NUM!</v>
      </c>
      <c r="D14" s="1" t="e">
        <f t="shared" si="5"/>
        <v>#NUM!</v>
      </c>
      <c r="E14" s="1" t="e">
        <f t="shared" si="6"/>
        <v>#NUM!</v>
      </c>
      <c r="F14" s="1" t="e">
        <f t="shared" si="0"/>
        <v>#NUM!</v>
      </c>
      <c r="G14" s="1" t="e">
        <f t="shared" si="1"/>
        <v>#NUM!</v>
      </c>
      <c r="I14" s="26">
        <v>9</v>
      </c>
      <c r="J14" s="27" t="s">
        <v>10</v>
      </c>
    </row>
    <row r="15" spans="1:10" ht="19.5" thickBot="1" x14ac:dyDescent="0.45">
      <c r="A15" s="1" t="e">
        <f t="shared" si="2"/>
        <v>#NUM!</v>
      </c>
      <c r="B15" s="1" t="e">
        <f t="shared" si="3"/>
        <v>#NUM!</v>
      </c>
      <c r="C15" s="1" t="e">
        <f t="shared" si="4"/>
        <v>#NUM!</v>
      </c>
      <c r="D15" s="1" t="e">
        <f t="shared" si="5"/>
        <v>#NUM!</v>
      </c>
      <c r="E15" s="1" t="e">
        <f t="shared" si="6"/>
        <v>#NUM!</v>
      </c>
      <c r="F15" s="1" t="e">
        <f t="shared" si="0"/>
        <v>#NUM!</v>
      </c>
      <c r="G15" s="1" t="e">
        <f t="shared" si="1"/>
        <v>#NUM!</v>
      </c>
      <c r="I15" s="28">
        <v>10</v>
      </c>
      <c r="J15" s="29" t="s">
        <v>10</v>
      </c>
    </row>
    <row r="16" spans="1:10" x14ac:dyDescent="0.4">
      <c r="A16" s="1" t="e">
        <f t="shared" si="2"/>
        <v>#NUM!</v>
      </c>
      <c r="B16" s="1" t="e">
        <f t="shared" si="3"/>
        <v>#NUM!</v>
      </c>
      <c r="C16" s="1" t="e">
        <f t="shared" si="4"/>
        <v>#NUM!</v>
      </c>
      <c r="D16" s="1" t="e">
        <f t="shared" si="5"/>
        <v>#NUM!</v>
      </c>
      <c r="E16" s="1" t="e">
        <f t="shared" si="6"/>
        <v>#NUM!</v>
      </c>
      <c r="F16" s="1" t="e">
        <f t="shared" si="0"/>
        <v>#NUM!</v>
      </c>
      <c r="G16" s="1" t="e">
        <f t="shared" si="1"/>
        <v>#NUM!</v>
      </c>
    </row>
    <row r="17" spans="1:7" x14ac:dyDescent="0.4">
      <c r="A17" s="1" t="e">
        <f t="shared" si="2"/>
        <v>#NUM!</v>
      </c>
      <c r="B17" s="1" t="e">
        <f t="shared" si="3"/>
        <v>#NUM!</v>
      </c>
      <c r="C17" s="1" t="e">
        <f t="shared" si="4"/>
        <v>#NUM!</v>
      </c>
      <c r="D17" s="1" t="e">
        <f t="shared" si="5"/>
        <v>#NUM!</v>
      </c>
      <c r="E17" s="1" t="e">
        <f t="shared" si="6"/>
        <v>#NUM!</v>
      </c>
      <c r="F17" s="1" t="e">
        <f t="shared" si="0"/>
        <v>#NUM!</v>
      </c>
      <c r="G17" s="1" t="e">
        <f t="shared" si="1"/>
        <v>#NUM!</v>
      </c>
    </row>
    <row r="18" spans="1:7" x14ac:dyDescent="0.4">
      <c r="A18" s="1" t="e">
        <f t="shared" si="2"/>
        <v>#NUM!</v>
      </c>
      <c r="B18" s="1" t="e">
        <f t="shared" si="3"/>
        <v>#NUM!</v>
      </c>
      <c r="C18" s="1" t="e">
        <f t="shared" si="4"/>
        <v>#NUM!</v>
      </c>
      <c r="D18" s="1" t="e">
        <f t="shared" si="5"/>
        <v>#NUM!</v>
      </c>
      <c r="E18" s="1" t="e">
        <f t="shared" si="6"/>
        <v>#NUM!</v>
      </c>
      <c r="F18" s="1" t="e">
        <f t="shared" si="0"/>
        <v>#NUM!</v>
      </c>
      <c r="G18" s="1" t="e">
        <f t="shared" si="1"/>
        <v>#NUM!</v>
      </c>
    </row>
    <row r="19" spans="1:7" x14ac:dyDescent="0.4">
      <c r="A19" s="1" t="e">
        <f t="shared" si="2"/>
        <v>#NUM!</v>
      </c>
      <c r="B19" s="1" t="e">
        <f t="shared" si="3"/>
        <v>#NUM!</v>
      </c>
      <c r="C19" s="1" t="e">
        <f t="shared" si="4"/>
        <v>#NUM!</v>
      </c>
      <c r="D19" s="1" t="e">
        <f t="shared" si="5"/>
        <v>#NUM!</v>
      </c>
      <c r="E19" s="1" t="e">
        <f t="shared" si="6"/>
        <v>#NUM!</v>
      </c>
      <c r="F19" s="1" t="e">
        <f t="shared" si="0"/>
        <v>#NUM!</v>
      </c>
      <c r="G19" s="1" t="e">
        <f t="shared" si="1"/>
        <v>#NUM!</v>
      </c>
    </row>
    <row r="20" spans="1:7" x14ac:dyDescent="0.4">
      <c r="A20" s="1" t="e">
        <f t="shared" si="2"/>
        <v>#NUM!</v>
      </c>
      <c r="B20" s="1" t="e">
        <f t="shared" si="3"/>
        <v>#NUM!</v>
      </c>
      <c r="C20" s="1" t="e">
        <f t="shared" si="4"/>
        <v>#NUM!</v>
      </c>
      <c r="D20" s="1" t="e">
        <f t="shared" si="5"/>
        <v>#NUM!</v>
      </c>
      <c r="E20" s="1" t="e">
        <f t="shared" si="6"/>
        <v>#NUM!</v>
      </c>
      <c r="F20" s="1" t="e">
        <f t="shared" si="0"/>
        <v>#NUM!</v>
      </c>
      <c r="G20" s="1" t="e">
        <f t="shared" si="1"/>
        <v>#NUM!</v>
      </c>
    </row>
    <row r="21" spans="1:7" x14ac:dyDescent="0.4">
      <c r="A21" s="1" t="e">
        <f t="shared" ref="A21:A58" si="7">G20</f>
        <v>#NUM!</v>
      </c>
      <c r="B21" s="1" t="e">
        <f t="shared" si="3"/>
        <v>#NUM!</v>
      </c>
      <c r="C21" s="1" t="e">
        <f t="shared" ref="C21:C58" si="8">4*A21^3-48*A21^2+176*A21-190</f>
        <v>#NUM!</v>
      </c>
      <c r="D21" s="1" t="e">
        <f t="shared" ref="D21:D58" si="9">12*A21^2-96*A21+176</f>
        <v>#NUM!</v>
      </c>
      <c r="E21" s="1" t="e">
        <f t="shared" ref="E21:E58" si="10">C21</f>
        <v>#NUM!</v>
      </c>
      <c r="F21" s="1" t="e">
        <f t="shared" si="0"/>
        <v>#NUM!</v>
      </c>
      <c r="G21" s="1" t="e">
        <f t="shared" ref="G21:G58" si="11">A21-E21*F21</f>
        <v>#NUM!</v>
      </c>
    </row>
    <row r="22" spans="1:7" x14ac:dyDescent="0.4">
      <c r="A22" s="1" t="e">
        <f t="shared" si="7"/>
        <v>#NUM!</v>
      </c>
      <c r="B22" s="1" t="e">
        <f t="shared" si="3"/>
        <v>#NUM!</v>
      </c>
      <c r="C22" s="1" t="e">
        <f t="shared" si="8"/>
        <v>#NUM!</v>
      </c>
      <c r="D22" s="1" t="e">
        <f t="shared" si="9"/>
        <v>#NUM!</v>
      </c>
      <c r="E22" s="1" t="e">
        <f t="shared" si="10"/>
        <v>#NUM!</v>
      </c>
      <c r="F22" s="1" t="e">
        <f t="shared" si="0"/>
        <v>#NUM!</v>
      </c>
      <c r="G22" s="1" t="e">
        <f t="shared" si="11"/>
        <v>#NUM!</v>
      </c>
    </row>
    <row r="23" spans="1:7" x14ac:dyDescent="0.4">
      <c r="A23" s="1" t="e">
        <f t="shared" si="7"/>
        <v>#NUM!</v>
      </c>
      <c r="B23" s="1" t="e">
        <f t="shared" si="3"/>
        <v>#NUM!</v>
      </c>
      <c r="C23" s="1" t="e">
        <f t="shared" si="8"/>
        <v>#NUM!</v>
      </c>
      <c r="D23" s="1" t="e">
        <f t="shared" si="9"/>
        <v>#NUM!</v>
      </c>
      <c r="E23" s="1" t="e">
        <f t="shared" si="10"/>
        <v>#NUM!</v>
      </c>
      <c r="F23" s="1" t="e">
        <f t="shared" si="0"/>
        <v>#NUM!</v>
      </c>
      <c r="G23" s="1" t="e">
        <f t="shared" si="11"/>
        <v>#NUM!</v>
      </c>
    </row>
    <row r="24" spans="1:7" x14ac:dyDescent="0.4">
      <c r="A24" s="1" t="e">
        <f t="shared" si="7"/>
        <v>#NUM!</v>
      </c>
      <c r="B24" s="1" t="e">
        <f t="shared" si="3"/>
        <v>#NUM!</v>
      </c>
      <c r="C24" s="1" t="e">
        <f t="shared" si="8"/>
        <v>#NUM!</v>
      </c>
      <c r="D24" s="1" t="e">
        <f t="shared" si="9"/>
        <v>#NUM!</v>
      </c>
      <c r="E24" s="1" t="e">
        <f t="shared" si="10"/>
        <v>#NUM!</v>
      </c>
      <c r="F24" s="1" t="e">
        <f t="shared" si="0"/>
        <v>#NUM!</v>
      </c>
      <c r="G24" s="1" t="e">
        <f t="shared" si="11"/>
        <v>#NUM!</v>
      </c>
    </row>
    <row r="25" spans="1:7" x14ac:dyDescent="0.4">
      <c r="A25" s="1" t="e">
        <f t="shared" si="7"/>
        <v>#NUM!</v>
      </c>
      <c r="B25" s="1" t="e">
        <f t="shared" si="3"/>
        <v>#NUM!</v>
      </c>
      <c r="C25" s="1" t="e">
        <f t="shared" si="8"/>
        <v>#NUM!</v>
      </c>
      <c r="D25" s="1" t="e">
        <f t="shared" si="9"/>
        <v>#NUM!</v>
      </c>
      <c r="E25" s="1" t="e">
        <f t="shared" si="10"/>
        <v>#NUM!</v>
      </c>
      <c r="F25" s="1" t="e">
        <f t="shared" si="0"/>
        <v>#NUM!</v>
      </c>
      <c r="G25" s="1" t="e">
        <f t="shared" si="11"/>
        <v>#NUM!</v>
      </c>
    </row>
    <row r="26" spans="1:7" x14ac:dyDescent="0.4">
      <c r="A26" s="1" t="e">
        <f t="shared" si="7"/>
        <v>#NUM!</v>
      </c>
      <c r="B26" s="1" t="e">
        <f t="shared" si="3"/>
        <v>#NUM!</v>
      </c>
      <c r="C26" s="1" t="e">
        <f t="shared" si="8"/>
        <v>#NUM!</v>
      </c>
      <c r="D26" s="1" t="e">
        <f t="shared" si="9"/>
        <v>#NUM!</v>
      </c>
      <c r="E26" s="1" t="e">
        <f t="shared" si="10"/>
        <v>#NUM!</v>
      </c>
      <c r="F26" s="1" t="e">
        <f t="shared" si="0"/>
        <v>#NUM!</v>
      </c>
      <c r="G26" s="1" t="e">
        <f t="shared" si="11"/>
        <v>#NUM!</v>
      </c>
    </row>
    <row r="27" spans="1:7" x14ac:dyDescent="0.4">
      <c r="A27" s="1" t="e">
        <f t="shared" si="7"/>
        <v>#NUM!</v>
      </c>
      <c r="B27" s="1" t="e">
        <f t="shared" si="3"/>
        <v>#NUM!</v>
      </c>
      <c r="C27" s="1" t="e">
        <f t="shared" si="8"/>
        <v>#NUM!</v>
      </c>
      <c r="D27" s="1" t="e">
        <f t="shared" si="9"/>
        <v>#NUM!</v>
      </c>
      <c r="E27" s="1" t="e">
        <f t="shared" si="10"/>
        <v>#NUM!</v>
      </c>
      <c r="F27" s="1" t="e">
        <f t="shared" si="0"/>
        <v>#NUM!</v>
      </c>
      <c r="G27" s="1" t="e">
        <f t="shared" si="11"/>
        <v>#NUM!</v>
      </c>
    </row>
    <row r="28" spans="1:7" x14ac:dyDescent="0.4">
      <c r="A28" s="1" t="e">
        <f t="shared" si="7"/>
        <v>#NUM!</v>
      </c>
      <c r="B28" s="1" t="e">
        <f t="shared" si="3"/>
        <v>#NUM!</v>
      </c>
      <c r="C28" s="1" t="e">
        <f t="shared" si="8"/>
        <v>#NUM!</v>
      </c>
      <c r="D28" s="1" t="e">
        <f t="shared" si="9"/>
        <v>#NUM!</v>
      </c>
      <c r="E28" s="1" t="e">
        <f t="shared" si="10"/>
        <v>#NUM!</v>
      </c>
      <c r="F28" s="1" t="e">
        <f t="shared" si="0"/>
        <v>#NUM!</v>
      </c>
      <c r="G28" s="1" t="e">
        <f t="shared" si="11"/>
        <v>#NUM!</v>
      </c>
    </row>
    <row r="29" spans="1:7" x14ac:dyDescent="0.4">
      <c r="A29" s="1" t="e">
        <f t="shared" si="7"/>
        <v>#NUM!</v>
      </c>
      <c r="B29" s="1" t="e">
        <f t="shared" si="3"/>
        <v>#NUM!</v>
      </c>
      <c r="C29" s="1" t="e">
        <f t="shared" si="8"/>
        <v>#NUM!</v>
      </c>
      <c r="D29" s="1" t="e">
        <f t="shared" si="9"/>
        <v>#NUM!</v>
      </c>
      <c r="E29" s="1" t="e">
        <f t="shared" si="10"/>
        <v>#NUM!</v>
      </c>
      <c r="F29" s="1" t="e">
        <f t="shared" si="0"/>
        <v>#NUM!</v>
      </c>
      <c r="G29" s="1" t="e">
        <f t="shared" si="11"/>
        <v>#NUM!</v>
      </c>
    </row>
    <row r="30" spans="1:7" x14ac:dyDescent="0.4">
      <c r="A30" s="1" t="e">
        <f t="shared" si="7"/>
        <v>#NUM!</v>
      </c>
      <c r="B30" s="1" t="e">
        <f t="shared" si="3"/>
        <v>#NUM!</v>
      </c>
      <c r="C30" s="1" t="e">
        <f t="shared" si="8"/>
        <v>#NUM!</v>
      </c>
      <c r="D30" s="1" t="e">
        <f t="shared" si="9"/>
        <v>#NUM!</v>
      </c>
      <c r="E30" s="1" t="e">
        <f t="shared" si="10"/>
        <v>#NUM!</v>
      </c>
      <c r="F30" s="1" t="e">
        <f t="shared" si="0"/>
        <v>#NUM!</v>
      </c>
      <c r="G30" s="1" t="e">
        <f t="shared" si="11"/>
        <v>#NUM!</v>
      </c>
    </row>
    <row r="31" spans="1:7" x14ac:dyDescent="0.4">
      <c r="A31" s="1" t="e">
        <f t="shared" si="7"/>
        <v>#NUM!</v>
      </c>
      <c r="B31" s="1" t="e">
        <f t="shared" si="3"/>
        <v>#NUM!</v>
      </c>
      <c r="C31" s="1" t="e">
        <f t="shared" si="8"/>
        <v>#NUM!</v>
      </c>
      <c r="D31" s="1" t="e">
        <f t="shared" si="9"/>
        <v>#NUM!</v>
      </c>
      <c r="E31" s="1" t="e">
        <f t="shared" si="10"/>
        <v>#NUM!</v>
      </c>
      <c r="F31" s="1" t="e">
        <f t="shared" si="0"/>
        <v>#NUM!</v>
      </c>
      <c r="G31" s="1" t="e">
        <f t="shared" si="11"/>
        <v>#NUM!</v>
      </c>
    </row>
    <row r="32" spans="1:7" x14ac:dyDescent="0.4">
      <c r="A32" s="1" t="e">
        <f t="shared" si="7"/>
        <v>#NUM!</v>
      </c>
      <c r="B32" s="1" t="e">
        <f t="shared" si="3"/>
        <v>#NUM!</v>
      </c>
      <c r="C32" s="1" t="e">
        <f t="shared" si="8"/>
        <v>#NUM!</v>
      </c>
      <c r="D32" s="1" t="e">
        <f t="shared" si="9"/>
        <v>#NUM!</v>
      </c>
      <c r="E32" s="1" t="e">
        <f t="shared" si="10"/>
        <v>#NUM!</v>
      </c>
      <c r="F32" s="1" t="e">
        <f t="shared" si="0"/>
        <v>#NUM!</v>
      </c>
      <c r="G32" s="1" t="e">
        <f t="shared" si="11"/>
        <v>#NUM!</v>
      </c>
    </row>
    <row r="33" spans="1:7" x14ac:dyDescent="0.4">
      <c r="A33" s="1" t="e">
        <f t="shared" si="7"/>
        <v>#NUM!</v>
      </c>
      <c r="B33" s="1" t="e">
        <f t="shared" si="3"/>
        <v>#NUM!</v>
      </c>
      <c r="C33" s="1" t="e">
        <f t="shared" si="8"/>
        <v>#NUM!</v>
      </c>
      <c r="D33" s="1" t="e">
        <f t="shared" si="9"/>
        <v>#NUM!</v>
      </c>
      <c r="E33" s="1" t="e">
        <f t="shared" si="10"/>
        <v>#NUM!</v>
      </c>
      <c r="F33" s="1" t="e">
        <f t="shared" si="0"/>
        <v>#NUM!</v>
      </c>
      <c r="G33" s="1" t="e">
        <f t="shared" si="11"/>
        <v>#NUM!</v>
      </c>
    </row>
    <row r="34" spans="1:7" x14ac:dyDescent="0.4">
      <c r="A34" s="1" t="e">
        <f t="shared" si="7"/>
        <v>#NUM!</v>
      </c>
      <c r="B34" s="1" t="e">
        <f t="shared" si="3"/>
        <v>#NUM!</v>
      </c>
      <c r="C34" s="1" t="e">
        <f t="shared" si="8"/>
        <v>#NUM!</v>
      </c>
      <c r="D34" s="1" t="e">
        <f t="shared" si="9"/>
        <v>#NUM!</v>
      </c>
      <c r="E34" s="1" t="e">
        <f t="shared" si="10"/>
        <v>#NUM!</v>
      </c>
      <c r="F34" s="1" t="e">
        <f t="shared" si="0"/>
        <v>#NUM!</v>
      </c>
      <c r="G34" s="1" t="e">
        <f t="shared" si="11"/>
        <v>#NUM!</v>
      </c>
    </row>
    <row r="35" spans="1:7" x14ac:dyDescent="0.4">
      <c r="A35" s="1" t="e">
        <f t="shared" si="7"/>
        <v>#NUM!</v>
      </c>
      <c r="B35" s="1" t="e">
        <f t="shared" si="3"/>
        <v>#NUM!</v>
      </c>
      <c r="C35" s="1" t="e">
        <f t="shared" si="8"/>
        <v>#NUM!</v>
      </c>
      <c r="D35" s="1" t="e">
        <f t="shared" si="9"/>
        <v>#NUM!</v>
      </c>
      <c r="E35" s="1" t="e">
        <f t="shared" si="10"/>
        <v>#NUM!</v>
      </c>
      <c r="F35" s="1" t="e">
        <f t="shared" si="0"/>
        <v>#NUM!</v>
      </c>
      <c r="G35" s="1" t="e">
        <f t="shared" si="11"/>
        <v>#NUM!</v>
      </c>
    </row>
    <row r="36" spans="1:7" x14ac:dyDescent="0.4">
      <c r="A36" s="1" t="e">
        <f t="shared" si="7"/>
        <v>#NUM!</v>
      </c>
      <c r="B36" s="1" t="e">
        <f t="shared" si="3"/>
        <v>#NUM!</v>
      </c>
      <c r="C36" s="1" t="e">
        <f t="shared" si="8"/>
        <v>#NUM!</v>
      </c>
      <c r="D36" s="1" t="e">
        <f t="shared" si="9"/>
        <v>#NUM!</v>
      </c>
      <c r="E36" s="1" t="e">
        <f t="shared" si="10"/>
        <v>#NUM!</v>
      </c>
      <c r="F36" s="1" t="e">
        <f t="shared" si="0"/>
        <v>#NUM!</v>
      </c>
      <c r="G36" s="1" t="e">
        <f t="shared" si="11"/>
        <v>#NUM!</v>
      </c>
    </row>
    <row r="37" spans="1:7" x14ac:dyDescent="0.4">
      <c r="A37" s="1" t="e">
        <f t="shared" si="7"/>
        <v>#NUM!</v>
      </c>
      <c r="B37" s="1" t="e">
        <f t="shared" si="3"/>
        <v>#NUM!</v>
      </c>
      <c r="C37" s="1" t="e">
        <f t="shared" si="8"/>
        <v>#NUM!</v>
      </c>
      <c r="D37" s="1" t="e">
        <f t="shared" si="9"/>
        <v>#NUM!</v>
      </c>
      <c r="E37" s="1" t="e">
        <f t="shared" si="10"/>
        <v>#NUM!</v>
      </c>
      <c r="F37" s="1" t="e">
        <f t="shared" si="0"/>
        <v>#NUM!</v>
      </c>
      <c r="G37" s="1" t="e">
        <f t="shared" si="11"/>
        <v>#NUM!</v>
      </c>
    </row>
    <row r="38" spans="1:7" x14ac:dyDescent="0.4">
      <c r="A38" s="1" t="e">
        <f t="shared" si="7"/>
        <v>#NUM!</v>
      </c>
      <c r="B38" s="1" t="e">
        <f t="shared" si="3"/>
        <v>#NUM!</v>
      </c>
      <c r="C38" s="1" t="e">
        <f t="shared" si="8"/>
        <v>#NUM!</v>
      </c>
      <c r="D38" s="1" t="e">
        <f t="shared" si="9"/>
        <v>#NUM!</v>
      </c>
      <c r="E38" s="1" t="e">
        <f t="shared" si="10"/>
        <v>#NUM!</v>
      </c>
      <c r="F38" s="1" t="e">
        <f t="shared" si="0"/>
        <v>#NUM!</v>
      </c>
      <c r="G38" s="1" t="e">
        <f t="shared" si="11"/>
        <v>#NUM!</v>
      </c>
    </row>
    <row r="39" spans="1:7" x14ac:dyDescent="0.4">
      <c r="A39" s="1" t="e">
        <f t="shared" si="7"/>
        <v>#NUM!</v>
      </c>
      <c r="B39" s="1" t="e">
        <f t="shared" si="3"/>
        <v>#NUM!</v>
      </c>
      <c r="C39" s="1" t="e">
        <f t="shared" si="8"/>
        <v>#NUM!</v>
      </c>
      <c r="D39" s="1" t="e">
        <f t="shared" si="9"/>
        <v>#NUM!</v>
      </c>
      <c r="E39" s="1" t="e">
        <f t="shared" si="10"/>
        <v>#NUM!</v>
      </c>
      <c r="F39" s="1" t="e">
        <f t="shared" si="0"/>
        <v>#NUM!</v>
      </c>
      <c r="G39" s="1" t="e">
        <f t="shared" si="11"/>
        <v>#NUM!</v>
      </c>
    </row>
    <row r="40" spans="1:7" x14ac:dyDescent="0.4">
      <c r="A40" s="1" t="e">
        <f t="shared" si="7"/>
        <v>#NUM!</v>
      </c>
      <c r="B40" s="1" t="e">
        <f t="shared" si="3"/>
        <v>#NUM!</v>
      </c>
      <c r="C40" s="1" t="e">
        <f t="shared" si="8"/>
        <v>#NUM!</v>
      </c>
      <c r="D40" s="1" t="e">
        <f t="shared" si="9"/>
        <v>#NUM!</v>
      </c>
      <c r="E40" s="1" t="e">
        <f t="shared" si="10"/>
        <v>#NUM!</v>
      </c>
      <c r="F40" s="1" t="e">
        <f t="shared" si="0"/>
        <v>#NUM!</v>
      </c>
      <c r="G40" s="1" t="e">
        <f t="shared" si="11"/>
        <v>#NUM!</v>
      </c>
    </row>
    <row r="41" spans="1:7" x14ac:dyDescent="0.4">
      <c r="A41" s="1" t="e">
        <f t="shared" si="7"/>
        <v>#NUM!</v>
      </c>
      <c r="B41" s="1" t="e">
        <f t="shared" si="3"/>
        <v>#NUM!</v>
      </c>
      <c r="C41" s="1" t="e">
        <f t="shared" si="8"/>
        <v>#NUM!</v>
      </c>
      <c r="D41" s="1" t="e">
        <f t="shared" si="9"/>
        <v>#NUM!</v>
      </c>
      <c r="E41" s="1" t="e">
        <f t="shared" si="10"/>
        <v>#NUM!</v>
      </c>
      <c r="F41" s="1" t="e">
        <f t="shared" si="0"/>
        <v>#NUM!</v>
      </c>
      <c r="G41" s="1" t="e">
        <f t="shared" si="11"/>
        <v>#NUM!</v>
      </c>
    </row>
    <row r="42" spans="1:7" x14ac:dyDescent="0.4">
      <c r="A42" s="1" t="e">
        <f t="shared" si="7"/>
        <v>#NUM!</v>
      </c>
      <c r="B42" s="1" t="e">
        <f t="shared" si="3"/>
        <v>#NUM!</v>
      </c>
      <c r="C42" s="1" t="e">
        <f t="shared" si="8"/>
        <v>#NUM!</v>
      </c>
      <c r="D42" s="1" t="e">
        <f t="shared" si="9"/>
        <v>#NUM!</v>
      </c>
      <c r="E42" s="1" t="e">
        <f t="shared" si="10"/>
        <v>#NUM!</v>
      </c>
      <c r="F42" s="1" t="e">
        <f t="shared" si="0"/>
        <v>#NUM!</v>
      </c>
      <c r="G42" s="1" t="e">
        <f t="shared" si="11"/>
        <v>#NUM!</v>
      </c>
    </row>
    <row r="43" spans="1:7" x14ac:dyDescent="0.4">
      <c r="A43" s="1" t="e">
        <f t="shared" si="7"/>
        <v>#NUM!</v>
      </c>
      <c r="B43" s="1" t="e">
        <f t="shared" si="3"/>
        <v>#NUM!</v>
      </c>
      <c r="C43" s="1" t="e">
        <f t="shared" si="8"/>
        <v>#NUM!</v>
      </c>
      <c r="D43" s="1" t="e">
        <f t="shared" si="9"/>
        <v>#NUM!</v>
      </c>
      <c r="E43" s="1" t="e">
        <f t="shared" si="10"/>
        <v>#NUM!</v>
      </c>
      <c r="F43" s="1" t="e">
        <f t="shared" si="0"/>
        <v>#NUM!</v>
      </c>
      <c r="G43" s="1" t="e">
        <f t="shared" si="11"/>
        <v>#NUM!</v>
      </c>
    </row>
    <row r="44" spans="1:7" x14ac:dyDescent="0.4">
      <c r="A44" s="1" t="e">
        <f t="shared" si="7"/>
        <v>#NUM!</v>
      </c>
      <c r="B44" s="1" t="e">
        <f t="shared" si="3"/>
        <v>#NUM!</v>
      </c>
      <c r="C44" s="1" t="e">
        <f t="shared" si="8"/>
        <v>#NUM!</v>
      </c>
      <c r="D44" s="1" t="e">
        <f t="shared" si="9"/>
        <v>#NUM!</v>
      </c>
      <c r="E44" s="1" t="e">
        <f t="shared" si="10"/>
        <v>#NUM!</v>
      </c>
      <c r="F44" s="1" t="e">
        <f t="shared" si="0"/>
        <v>#NUM!</v>
      </c>
      <c r="G44" s="1" t="e">
        <f t="shared" si="11"/>
        <v>#NUM!</v>
      </c>
    </row>
    <row r="45" spans="1:7" x14ac:dyDescent="0.4">
      <c r="A45" s="1" t="e">
        <f t="shared" si="7"/>
        <v>#NUM!</v>
      </c>
      <c r="B45" s="1" t="e">
        <f t="shared" si="3"/>
        <v>#NUM!</v>
      </c>
      <c r="C45" s="1" t="e">
        <f t="shared" si="8"/>
        <v>#NUM!</v>
      </c>
      <c r="D45" s="1" t="e">
        <f t="shared" si="9"/>
        <v>#NUM!</v>
      </c>
      <c r="E45" s="1" t="e">
        <f t="shared" si="10"/>
        <v>#NUM!</v>
      </c>
      <c r="F45" s="1" t="e">
        <f t="shared" si="0"/>
        <v>#NUM!</v>
      </c>
      <c r="G45" s="1" t="e">
        <f t="shared" si="11"/>
        <v>#NUM!</v>
      </c>
    </row>
    <row r="46" spans="1:7" x14ac:dyDescent="0.4">
      <c r="A46" s="1" t="e">
        <f t="shared" si="7"/>
        <v>#NUM!</v>
      </c>
      <c r="B46" s="1" t="e">
        <f t="shared" si="3"/>
        <v>#NUM!</v>
      </c>
      <c r="C46" s="1" t="e">
        <f t="shared" si="8"/>
        <v>#NUM!</v>
      </c>
      <c r="D46" s="1" t="e">
        <f t="shared" si="9"/>
        <v>#NUM!</v>
      </c>
      <c r="E46" s="1" t="e">
        <f t="shared" si="10"/>
        <v>#NUM!</v>
      </c>
      <c r="F46" s="1" t="e">
        <f t="shared" si="0"/>
        <v>#NUM!</v>
      </c>
      <c r="G46" s="1" t="e">
        <f t="shared" si="11"/>
        <v>#NUM!</v>
      </c>
    </row>
    <row r="47" spans="1:7" x14ac:dyDescent="0.4">
      <c r="A47" s="1" t="e">
        <f t="shared" si="7"/>
        <v>#NUM!</v>
      </c>
      <c r="B47" s="1" t="e">
        <f t="shared" si="3"/>
        <v>#NUM!</v>
      </c>
      <c r="C47" s="1" t="e">
        <f t="shared" si="8"/>
        <v>#NUM!</v>
      </c>
      <c r="D47" s="1" t="e">
        <f t="shared" si="9"/>
        <v>#NUM!</v>
      </c>
      <c r="E47" s="1" t="e">
        <f t="shared" si="10"/>
        <v>#NUM!</v>
      </c>
      <c r="F47" s="1" t="e">
        <f t="shared" si="0"/>
        <v>#NUM!</v>
      </c>
      <c r="G47" s="1" t="e">
        <f t="shared" si="11"/>
        <v>#NUM!</v>
      </c>
    </row>
    <row r="48" spans="1:7" x14ac:dyDescent="0.4">
      <c r="A48" s="1" t="e">
        <f t="shared" si="7"/>
        <v>#NUM!</v>
      </c>
      <c r="B48" s="1" t="e">
        <f t="shared" si="3"/>
        <v>#NUM!</v>
      </c>
      <c r="C48" s="1" t="e">
        <f t="shared" si="8"/>
        <v>#NUM!</v>
      </c>
      <c r="D48" s="1" t="e">
        <f t="shared" si="9"/>
        <v>#NUM!</v>
      </c>
      <c r="E48" s="1" t="e">
        <f t="shared" si="10"/>
        <v>#NUM!</v>
      </c>
      <c r="F48" s="1" t="e">
        <f t="shared" si="0"/>
        <v>#NUM!</v>
      </c>
      <c r="G48" s="1" t="e">
        <f t="shared" si="11"/>
        <v>#NUM!</v>
      </c>
    </row>
    <row r="49" spans="1:7" x14ac:dyDescent="0.4">
      <c r="A49" s="1" t="e">
        <f t="shared" si="7"/>
        <v>#NUM!</v>
      </c>
      <c r="B49" s="1" t="e">
        <f t="shared" si="3"/>
        <v>#NUM!</v>
      </c>
      <c r="C49" s="1" t="e">
        <f t="shared" si="8"/>
        <v>#NUM!</v>
      </c>
      <c r="D49" s="1" t="e">
        <f t="shared" si="9"/>
        <v>#NUM!</v>
      </c>
      <c r="E49" s="1" t="e">
        <f t="shared" si="10"/>
        <v>#NUM!</v>
      </c>
      <c r="F49" s="1" t="e">
        <f t="shared" si="0"/>
        <v>#NUM!</v>
      </c>
      <c r="G49" s="1" t="e">
        <f t="shared" si="11"/>
        <v>#NUM!</v>
      </c>
    </row>
    <row r="50" spans="1:7" x14ac:dyDescent="0.4">
      <c r="A50" s="1" t="e">
        <f t="shared" si="7"/>
        <v>#NUM!</v>
      </c>
      <c r="B50" s="1" t="e">
        <f t="shared" si="3"/>
        <v>#NUM!</v>
      </c>
      <c r="C50" s="1" t="e">
        <f t="shared" si="8"/>
        <v>#NUM!</v>
      </c>
      <c r="D50" s="1" t="e">
        <f t="shared" si="9"/>
        <v>#NUM!</v>
      </c>
      <c r="E50" s="1" t="e">
        <f t="shared" si="10"/>
        <v>#NUM!</v>
      </c>
      <c r="F50" s="1" t="e">
        <f t="shared" si="0"/>
        <v>#NUM!</v>
      </c>
      <c r="G50" s="1" t="e">
        <f t="shared" si="11"/>
        <v>#NUM!</v>
      </c>
    </row>
    <row r="51" spans="1:7" x14ac:dyDescent="0.4">
      <c r="A51" s="1" t="e">
        <f t="shared" si="7"/>
        <v>#NUM!</v>
      </c>
      <c r="B51" s="1" t="e">
        <f t="shared" si="3"/>
        <v>#NUM!</v>
      </c>
      <c r="C51" s="1" t="e">
        <f t="shared" si="8"/>
        <v>#NUM!</v>
      </c>
      <c r="D51" s="1" t="e">
        <f t="shared" si="9"/>
        <v>#NUM!</v>
      </c>
      <c r="E51" s="1" t="e">
        <f t="shared" si="10"/>
        <v>#NUM!</v>
      </c>
      <c r="F51" s="1" t="e">
        <f t="shared" si="0"/>
        <v>#NUM!</v>
      </c>
      <c r="G51" s="1" t="e">
        <f t="shared" si="11"/>
        <v>#NUM!</v>
      </c>
    </row>
    <row r="52" spans="1:7" x14ac:dyDescent="0.4">
      <c r="A52" s="1" t="e">
        <f t="shared" si="7"/>
        <v>#NUM!</v>
      </c>
      <c r="B52" s="1" t="e">
        <f t="shared" si="3"/>
        <v>#NUM!</v>
      </c>
      <c r="C52" s="1" t="e">
        <f t="shared" si="8"/>
        <v>#NUM!</v>
      </c>
      <c r="D52" s="1" t="e">
        <f t="shared" si="9"/>
        <v>#NUM!</v>
      </c>
      <c r="E52" s="1" t="e">
        <f t="shared" si="10"/>
        <v>#NUM!</v>
      </c>
      <c r="F52" s="1" t="e">
        <f t="shared" si="0"/>
        <v>#NUM!</v>
      </c>
      <c r="G52" s="1" t="e">
        <f t="shared" si="11"/>
        <v>#NUM!</v>
      </c>
    </row>
    <row r="53" spans="1:7" x14ac:dyDescent="0.4">
      <c r="A53" s="1" t="e">
        <f t="shared" si="7"/>
        <v>#NUM!</v>
      </c>
      <c r="B53" s="1" t="e">
        <f t="shared" si="3"/>
        <v>#NUM!</v>
      </c>
      <c r="C53" s="1" t="e">
        <f t="shared" si="8"/>
        <v>#NUM!</v>
      </c>
      <c r="D53" s="1" t="e">
        <f t="shared" si="9"/>
        <v>#NUM!</v>
      </c>
      <c r="E53" s="1" t="e">
        <f t="shared" si="10"/>
        <v>#NUM!</v>
      </c>
      <c r="F53" s="1" t="e">
        <f t="shared" si="0"/>
        <v>#NUM!</v>
      </c>
      <c r="G53" s="1" t="e">
        <f t="shared" si="11"/>
        <v>#NUM!</v>
      </c>
    </row>
    <row r="54" spans="1:7" x14ac:dyDescent="0.4">
      <c r="A54" s="1" t="e">
        <f t="shared" si="7"/>
        <v>#NUM!</v>
      </c>
      <c r="B54" s="1" t="e">
        <f t="shared" si="3"/>
        <v>#NUM!</v>
      </c>
      <c r="C54" s="1" t="e">
        <f t="shared" si="8"/>
        <v>#NUM!</v>
      </c>
      <c r="D54" s="1" t="e">
        <f t="shared" si="9"/>
        <v>#NUM!</v>
      </c>
      <c r="E54" s="1" t="e">
        <f t="shared" si="10"/>
        <v>#NUM!</v>
      </c>
      <c r="F54" s="1" t="e">
        <f t="shared" si="0"/>
        <v>#NUM!</v>
      </c>
      <c r="G54" s="1" t="e">
        <f t="shared" si="11"/>
        <v>#NUM!</v>
      </c>
    </row>
    <row r="55" spans="1:7" x14ac:dyDescent="0.4">
      <c r="A55" s="1" t="e">
        <f t="shared" si="7"/>
        <v>#NUM!</v>
      </c>
      <c r="B55" s="1" t="e">
        <f t="shared" si="3"/>
        <v>#NUM!</v>
      </c>
      <c r="C55" s="1" t="e">
        <f t="shared" si="8"/>
        <v>#NUM!</v>
      </c>
      <c r="D55" s="1" t="e">
        <f t="shared" si="9"/>
        <v>#NUM!</v>
      </c>
      <c r="E55" s="1" t="e">
        <f t="shared" si="10"/>
        <v>#NUM!</v>
      </c>
      <c r="F55" s="1" t="e">
        <f t="shared" si="0"/>
        <v>#NUM!</v>
      </c>
      <c r="G55" s="1" t="e">
        <f t="shared" si="11"/>
        <v>#NUM!</v>
      </c>
    </row>
    <row r="56" spans="1:7" x14ac:dyDescent="0.4">
      <c r="A56" s="1" t="e">
        <f t="shared" si="7"/>
        <v>#NUM!</v>
      </c>
      <c r="B56" s="1" t="e">
        <f t="shared" si="3"/>
        <v>#NUM!</v>
      </c>
      <c r="C56" s="1" t="e">
        <f t="shared" si="8"/>
        <v>#NUM!</v>
      </c>
      <c r="D56" s="1" t="e">
        <f t="shared" si="9"/>
        <v>#NUM!</v>
      </c>
      <c r="E56" s="1" t="e">
        <f t="shared" si="10"/>
        <v>#NUM!</v>
      </c>
      <c r="F56" s="1" t="e">
        <f t="shared" si="0"/>
        <v>#NUM!</v>
      </c>
      <c r="G56" s="1" t="e">
        <f t="shared" si="11"/>
        <v>#NUM!</v>
      </c>
    </row>
    <row r="57" spans="1:7" x14ac:dyDescent="0.4">
      <c r="A57" s="1" t="e">
        <f t="shared" si="7"/>
        <v>#NUM!</v>
      </c>
      <c r="B57" s="1" t="e">
        <f t="shared" si="3"/>
        <v>#NUM!</v>
      </c>
      <c r="C57" s="1" t="e">
        <f t="shared" si="8"/>
        <v>#NUM!</v>
      </c>
      <c r="D57" s="1" t="e">
        <f t="shared" si="9"/>
        <v>#NUM!</v>
      </c>
      <c r="E57" s="1" t="e">
        <f t="shared" si="10"/>
        <v>#NUM!</v>
      </c>
      <c r="F57" s="1" t="e">
        <f t="shared" si="0"/>
        <v>#NUM!</v>
      </c>
      <c r="G57" s="1" t="e">
        <f t="shared" si="11"/>
        <v>#NUM!</v>
      </c>
    </row>
    <row r="58" spans="1:7" x14ac:dyDescent="0.4">
      <c r="A58" s="1" t="e">
        <f t="shared" si="7"/>
        <v>#NUM!</v>
      </c>
      <c r="B58" s="1" t="e">
        <f t="shared" si="3"/>
        <v>#NUM!</v>
      </c>
      <c r="C58" s="1" t="e">
        <f t="shared" si="8"/>
        <v>#NUM!</v>
      </c>
      <c r="D58" s="1" t="e">
        <f t="shared" si="9"/>
        <v>#NUM!</v>
      </c>
      <c r="E58" s="1" t="e">
        <f t="shared" si="10"/>
        <v>#NUM!</v>
      </c>
      <c r="F58" s="1" t="e">
        <f t="shared" si="0"/>
        <v>#NUM!</v>
      </c>
      <c r="G58" s="1" t="e">
        <f t="shared" si="11"/>
        <v>#NUM!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1451-03F3-4B47-B836-09A12E837AB5}">
  <dimension ref="A1:J58"/>
  <sheetViews>
    <sheetView workbookViewId="0">
      <selection activeCell="F4" sqref="F4"/>
    </sheetView>
  </sheetViews>
  <sheetFormatPr defaultRowHeight="18.75" x14ac:dyDescent="0.4"/>
  <cols>
    <col min="1" max="1" width="6.125" style="1" bestFit="1" customWidth="1"/>
    <col min="2" max="2" width="8.125" style="1" bestFit="1" customWidth="1"/>
    <col min="3" max="5" width="7.125" style="1" bestFit="1" customWidth="1"/>
    <col min="6" max="6" width="6" style="1" bestFit="1" customWidth="1"/>
    <col min="7" max="7" width="6.125" style="1" customWidth="1"/>
    <col min="9" max="9" width="7.875" bestFit="1" customWidth="1"/>
    <col min="10" max="10" width="9.375" bestFit="1" customWidth="1"/>
  </cols>
  <sheetData>
    <row r="1" spans="1:10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/>
    </row>
    <row r="2" spans="1:10" x14ac:dyDescent="0.4">
      <c r="A2" s="3">
        <v>10</v>
      </c>
      <c r="B2" s="1">
        <f>A2^4-16*A2^3+88*A2^2-190*A2+144</f>
        <v>1044</v>
      </c>
      <c r="C2" s="1">
        <f>4*A2^3-48*A2^2+176*A2-190</f>
        <v>770</v>
      </c>
      <c r="D2" s="1">
        <f>12*A2^2-96*A2+176</f>
        <v>416</v>
      </c>
      <c r="E2" s="1">
        <f>C2</f>
        <v>770</v>
      </c>
      <c r="F2" s="1">
        <f>IF(ABS(-C2/D2)&lt;0.01,ABS(-C2/D2),0.01)</f>
        <v>0.01</v>
      </c>
      <c r="G2" s="1">
        <f>A2-E2*F2</f>
        <v>2.2999999999999998</v>
      </c>
    </row>
    <row r="3" spans="1:10" x14ac:dyDescent="0.4">
      <c r="A3" s="1">
        <f>G2</f>
        <v>2.2999999999999998</v>
      </c>
      <c r="B3" s="1">
        <f>A3^4-16*A3^3+88*A3^2-190*A3+144</f>
        <v>5.8321000000000254</v>
      </c>
      <c r="C3" s="1">
        <f>4*A3^3-48*A3^2+176*A3-190</f>
        <v>9.5479999999999734</v>
      </c>
      <c r="D3" s="1">
        <f>12*A3^2-96*A3+176</f>
        <v>18.680000000000007</v>
      </c>
      <c r="E3" s="1">
        <f>C3</f>
        <v>9.5479999999999734</v>
      </c>
      <c r="F3" s="1">
        <f>IF(ABS(-C3/D3)&lt;0.01,ABS(-C3/D3),0.01)</f>
        <v>0.01</v>
      </c>
      <c r="G3" s="1">
        <f t="shared" ref="G3:G58" si="0">A3-E3*F3</f>
        <v>2.20452</v>
      </c>
    </row>
    <row r="4" spans="1:10" ht="19.5" thickBot="1" x14ac:dyDescent="0.45">
      <c r="A4" s="1">
        <f>G3</f>
        <v>2.20452</v>
      </c>
      <c r="B4" s="1">
        <f>A4^4-16*A4^3+88*A4^2-190*A4+144</f>
        <v>5.0116064993064242</v>
      </c>
      <c r="C4" s="1">
        <f>4*A4^3-48*A4^2+176*A4-190</f>
        <v>7.5749766727416556</v>
      </c>
      <c r="D4" s="1">
        <f>12*A4^2-96*A4+176</f>
        <v>22.684981164800007</v>
      </c>
      <c r="E4" s="1">
        <f>C4</f>
        <v>7.5749766727416556</v>
      </c>
      <c r="F4" s="1">
        <f t="shared" ref="F4:F58" si="1">IF(ABS(-C4/D4)&lt;0.01,ABS(-C4/D4),0.01)</f>
        <v>0.01</v>
      </c>
      <c r="G4" s="1">
        <f t="shared" si="0"/>
        <v>2.1287702332725833</v>
      </c>
    </row>
    <row r="5" spans="1:10" ht="37.5" x14ac:dyDescent="0.4">
      <c r="A5" s="1">
        <f>G4</f>
        <v>2.1287702332725833</v>
      </c>
      <c r="B5" s="1">
        <f>A5^4-16*A5^3+88*A5^2-190*A5+144</f>
        <v>4.5060418791787811</v>
      </c>
      <c r="C5" s="1">
        <f>4*A5^3-48*A5^2+176*A5-190</f>
        <v>5.7312258683701316</v>
      </c>
      <c r="D5" s="1">
        <f>12*A5^2-96*A5+176</f>
        <v>26.018010078640884</v>
      </c>
      <c r="E5" s="1">
        <f>C5</f>
        <v>5.7312258683701316</v>
      </c>
      <c r="F5" s="1">
        <f t="shared" si="1"/>
        <v>0.01</v>
      </c>
      <c r="G5" s="1">
        <f t="shared" si="0"/>
        <v>2.0714579745888821</v>
      </c>
      <c r="I5" s="10" t="s">
        <v>9</v>
      </c>
      <c r="J5" s="11" t="s">
        <v>8</v>
      </c>
    </row>
    <row r="6" spans="1:10" x14ac:dyDescent="0.4">
      <c r="A6" s="1">
        <f t="shared" ref="A6:A58" si="2">G5</f>
        <v>2.0714579745888821</v>
      </c>
      <c r="B6" s="1">
        <f t="shared" ref="B6:B58" si="3">A6^4-16*A6^3+88*A6^2-190*A6+144</f>
        <v>4.2217228432397178</v>
      </c>
      <c r="C6" s="1">
        <f t="shared" ref="C6:C58" si="4">4*A6^3-48*A6^2+176*A6-190</f>
        <v>4.1655649025501305</v>
      </c>
      <c r="D6" s="1">
        <f t="shared" ref="D6:D58" si="5">12*A6^2-96*A6+176</f>
        <v>28.631292125321806</v>
      </c>
      <c r="E6" s="1">
        <f t="shared" ref="E6:E58" si="6">C6</f>
        <v>4.1655649025501305</v>
      </c>
      <c r="F6" s="1">
        <f t="shared" si="1"/>
        <v>0.01</v>
      </c>
      <c r="G6" s="1">
        <f t="shared" si="0"/>
        <v>2.0298023255633808</v>
      </c>
      <c r="I6" s="22" t="s">
        <v>11</v>
      </c>
      <c r="J6" s="23">
        <v>1.94</v>
      </c>
    </row>
    <row r="7" spans="1:10" x14ac:dyDescent="0.4">
      <c r="A7" s="1">
        <f t="shared" si="2"/>
        <v>2.0298023255633808</v>
      </c>
      <c r="B7" s="1">
        <f t="shared" si="3"/>
        <v>4.0736045394272651</v>
      </c>
      <c r="C7" s="1">
        <f t="shared" si="4"/>
        <v>2.9324640105647575</v>
      </c>
      <c r="D7" s="1">
        <f t="shared" si="5"/>
        <v>30.580146516265557</v>
      </c>
      <c r="E7" s="1">
        <f t="shared" si="6"/>
        <v>2.9324640105647575</v>
      </c>
      <c r="F7" s="1">
        <f t="shared" si="1"/>
        <v>0.01</v>
      </c>
      <c r="G7" s="1">
        <f t="shared" si="0"/>
        <v>2.0004776854577333</v>
      </c>
      <c r="I7" s="22" t="s">
        <v>12</v>
      </c>
      <c r="J7" s="23">
        <v>1.94</v>
      </c>
    </row>
    <row r="8" spans="1:10" x14ac:dyDescent="0.4">
      <c r="A8" s="1">
        <f t="shared" si="2"/>
        <v>2.0004776854577333</v>
      </c>
      <c r="B8" s="1">
        <f t="shared" si="3"/>
        <v>4.000959020977831</v>
      </c>
      <c r="C8" s="1">
        <f t="shared" si="4"/>
        <v>2.015280458681957</v>
      </c>
      <c r="D8" s="1">
        <f t="shared" si="5"/>
        <v>31.977073836229579</v>
      </c>
      <c r="E8" s="1">
        <f t="shared" si="6"/>
        <v>2.015280458681957</v>
      </c>
      <c r="F8" s="1">
        <f t="shared" si="1"/>
        <v>0.01</v>
      </c>
      <c r="G8" s="1">
        <f t="shared" si="0"/>
        <v>1.9803248808709137</v>
      </c>
      <c r="I8" s="22">
        <v>3</v>
      </c>
      <c r="J8" s="23">
        <v>1.94</v>
      </c>
    </row>
    <row r="9" spans="1:10" x14ac:dyDescent="0.4">
      <c r="A9" s="1">
        <f t="shared" si="2"/>
        <v>1.9803248808709137</v>
      </c>
      <c r="B9" s="1">
        <f t="shared" si="3"/>
        <v>3.9669046081322392</v>
      </c>
      <c r="C9" s="1">
        <f t="shared" si="4"/>
        <v>1.3610750745973235</v>
      </c>
      <c r="D9" s="1">
        <f t="shared" si="5"/>
        <v>32.949051041949076</v>
      </c>
      <c r="E9" s="1">
        <f t="shared" si="6"/>
        <v>1.3610750745973235</v>
      </c>
      <c r="F9" s="1">
        <f t="shared" si="1"/>
        <v>0.01</v>
      </c>
      <c r="G9" s="1">
        <f t="shared" si="0"/>
        <v>1.9667141301249405</v>
      </c>
      <c r="I9" s="22">
        <v>4</v>
      </c>
      <c r="J9" s="23">
        <v>1.94</v>
      </c>
    </row>
    <row r="10" spans="1:10" x14ac:dyDescent="0.4">
      <c r="A10" s="1">
        <f t="shared" si="2"/>
        <v>1.9667141301249405</v>
      </c>
      <c r="B10" s="1">
        <f t="shared" si="3"/>
        <v>3.9514517063400092</v>
      </c>
      <c r="C10" s="1">
        <f t="shared" si="4"/>
        <v>0.90811386859525101</v>
      </c>
      <c r="D10" s="1">
        <f t="shared" si="5"/>
        <v>33.611017143602936</v>
      </c>
      <c r="E10" s="1">
        <f t="shared" si="6"/>
        <v>0.90811386859525101</v>
      </c>
      <c r="F10" s="1">
        <f t="shared" si="1"/>
        <v>0.01</v>
      </c>
      <c r="G10" s="1">
        <f t="shared" si="0"/>
        <v>1.9576329914389878</v>
      </c>
      <c r="I10" s="24">
        <v>5</v>
      </c>
      <c r="J10" s="25">
        <v>5.93</v>
      </c>
    </row>
    <row r="11" spans="1:10" x14ac:dyDescent="0.4">
      <c r="A11" s="1">
        <f t="shared" si="2"/>
        <v>1.9576329914389878</v>
      </c>
      <c r="B11" s="1">
        <f t="shared" si="3"/>
        <v>3.9445969972449006</v>
      </c>
      <c r="C11" s="1">
        <f t="shared" si="4"/>
        <v>0.60087241518039036</v>
      </c>
      <c r="D11" s="1">
        <f t="shared" si="5"/>
        <v>34.055155971901513</v>
      </c>
      <c r="E11" s="1">
        <f t="shared" si="6"/>
        <v>0.60087241518039036</v>
      </c>
      <c r="F11" s="1">
        <f t="shared" si="1"/>
        <v>0.01</v>
      </c>
      <c r="G11" s="1">
        <f t="shared" si="0"/>
        <v>1.951624267287184</v>
      </c>
      <c r="I11" s="24">
        <v>6</v>
      </c>
      <c r="J11" s="25">
        <v>5.94</v>
      </c>
    </row>
    <row r="12" spans="1:10" x14ac:dyDescent="0.4">
      <c r="A12" s="1">
        <f t="shared" si="2"/>
        <v>1.951624267287184</v>
      </c>
      <c r="B12" s="1">
        <f t="shared" si="3"/>
        <v>3.9416030709864458</v>
      </c>
      <c r="C12" s="1">
        <f t="shared" si="4"/>
        <v>0.39535863903077484</v>
      </c>
      <c r="D12" s="1">
        <f t="shared" si="5"/>
        <v>34.3501177084012</v>
      </c>
      <c r="E12" s="1">
        <f t="shared" si="6"/>
        <v>0.39535863903077484</v>
      </c>
      <c r="F12" s="1">
        <f t="shared" si="1"/>
        <v>0.01</v>
      </c>
      <c r="G12" s="1">
        <f t="shared" si="0"/>
        <v>1.9476706808968762</v>
      </c>
      <c r="I12" s="24">
        <v>7</v>
      </c>
      <c r="J12" s="25">
        <v>5.94</v>
      </c>
    </row>
    <row r="13" spans="1:10" x14ac:dyDescent="0.4">
      <c r="A13" s="1">
        <f t="shared" si="2"/>
        <v>1.9476706808968762</v>
      </c>
      <c r="B13" s="1">
        <f t="shared" si="3"/>
        <v>3.9403089537262019</v>
      </c>
      <c r="C13" s="1">
        <f t="shared" si="4"/>
        <v>0.25916801983029814</v>
      </c>
      <c r="D13" s="1">
        <f t="shared" si="5"/>
        <v>34.544667608603504</v>
      </c>
      <c r="E13" s="1">
        <f t="shared" si="6"/>
        <v>0.25916801983029814</v>
      </c>
      <c r="F13" s="1">
        <f t="shared" si="1"/>
        <v>7.5024030558554621E-3</v>
      </c>
      <c r="G13" s="1">
        <f t="shared" si="0"/>
        <v>1.9457262979529213</v>
      </c>
      <c r="I13" s="24">
        <v>8</v>
      </c>
      <c r="J13" s="25">
        <v>5.94</v>
      </c>
    </row>
    <row r="14" spans="1:10" x14ac:dyDescent="0.4">
      <c r="A14" s="1">
        <f t="shared" si="2"/>
        <v>1.9457262979529213</v>
      </c>
      <c r="B14" s="1">
        <f t="shared" si="3"/>
        <v>3.939870392427224</v>
      </c>
      <c r="C14" s="1">
        <f t="shared" si="4"/>
        <v>0.19190681887246797</v>
      </c>
      <c r="D14" s="1">
        <f t="shared" si="5"/>
        <v>34.640485315066542</v>
      </c>
      <c r="E14" s="1">
        <f t="shared" si="6"/>
        <v>0.19190681887246797</v>
      </c>
      <c r="F14" s="1">
        <f t="shared" si="1"/>
        <v>5.5399575706579366E-3</v>
      </c>
      <c r="G14" s="1">
        <f t="shared" si="0"/>
        <v>1.9446631423188478</v>
      </c>
      <c r="I14" s="24">
        <v>9</v>
      </c>
      <c r="J14" s="25">
        <v>5.93</v>
      </c>
    </row>
    <row r="15" spans="1:10" ht="19.5" thickBot="1" x14ac:dyDescent="0.45">
      <c r="A15" s="1">
        <f t="shared" si="2"/>
        <v>1.9446631423188478</v>
      </c>
      <c r="B15" s="1">
        <f t="shared" si="3"/>
        <v>3.9396859525558057</v>
      </c>
      <c r="C15" s="1">
        <f t="shared" si="4"/>
        <v>0.15505072359158589</v>
      </c>
      <c r="D15" s="1">
        <f t="shared" si="5"/>
        <v>34.69291518251157</v>
      </c>
      <c r="E15" s="1">
        <f t="shared" si="6"/>
        <v>0.15505072359158589</v>
      </c>
      <c r="F15" s="1">
        <f t="shared" si="1"/>
        <v>4.4692330631744019E-3</v>
      </c>
      <c r="G15" s="1">
        <f t="shared" si="0"/>
        <v>1.9439701844985031</v>
      </c>
      <c r="I15" s="20">
        <v>10</v>
      </c>
      <c r="J15" s="21">
        <v>1.94</v>
      </c>
    </row>
    <row r="16" spans="1:10" x14ac:dyDescent="0.4">
      <c r="A16" s="1">
        <f t="shared" si="2"/>
        <v>1.9439701844985031</v>
      </c>
      <c r="B16" s="1">
        <f t="shared" si="3"/>
        <v>3.9395868412850064</v>
      </c>
      <c r="C16" s="1">
        <f t="shared" si="4"/>
        <v>0.13099815193450581</v>
      </c>
      <c r="D16" s="1">
        <f t="shared" si="5"/>
        <v>34.727103226773409</v>
      </c>
      <c r="E16" s="1">
        <f t="shared" si="6"/>
        <v>0.13099815193450581</v>
      </c>
      <c r="F16" s="1">
        <f t="shared" si="1"/>
        <v>3.7722165041831281E-3</v>
      </c>
      <c r="G16" s="1">
        <f t="shared" si="0"/>
        <v>1.9434760311077584</v>
      </c>
    </row>
    <row r="17" spans="1:7" x14ac:dyDescent="0.4">
      <c r="A17" s="1">
        <f t="shared" si="2"/>
        <v>1.9434760311077584</v>
      </c>
      <c r="B17" s="1">
        <f t="shared" si="3"/>
        <v>3.9395263490601167</v>
      </c>
      <c r="C17" s="1">
        <f t="shared" si="4"/>
        <v>0.11383161095841388</v>
      </c>
      <c r="D17" s="1">
        <f t="shared" si="5"/>
        <v>34.751490015539588</v>
      </c>
      <c r="E17" s="1">
        <f t="shared" si="6"/>
        <v>0.11383161095841388</v>
      </c>
      <c r="F17" s="1">
        <f t="shared" si="1"/>
        <v>3.2755893605572761E-3</v>
      </c>
      <c r="G17" s="1">
        <f t="shared" si="0"/>
        <v>1.9431031654940079</v>
      </c>
    </row>
    <row r="18" spans="1:7" x14ac:dyDescent="0.4">
      <c r="A18" s="1">
        <f t="shared" si="2"/>
        <v>1.9431031654940079</v>
      </c>
      <c r="B18" s="1">
        <f t="shared" si="3"/>
        <v>3.9394863213214535</v>
      </c>
      <c r="C18" s="1">
        <f t="shared" si="4"/>
        <v>0.10087054410576002</v>
      </c>
      <c r="D18" s="1">
        <f t="shared" si="5"/>
        <v>34.769895053609247</v>
      </c>
      <c r="E18" s="1">
        <f t="shared" si="6"/>
        <v>0.10087054410576002</v>
      </c>
      <c r="F18" s="1">
        <f t="shared" si="1"/>
        <v>2.9010885408263338E-3</v>
      </c>
      <c r="G18" s="1">
        <f t="shared" si="0"/>
        <v>1.9428105311143957</v>
      </c>
    </row>
    <row r="19" spans="1:7" x14ac:dyDescent="0.4">
      <c r="A19" s="1">
        <f t="shared" si="2"/>
        <v>1.9428105311143957</v>
      </c>
      <c r="B19" s="1">
        <f t="shared" si="3"/>
        <v>3.9394582920963614</v>
      </c>
      <c r="C19" s="1">
        <f t="shared" si="4"/>
        <v>9.0693563631958796E-2</v>
      </c>
      <c r="D19" s="1">
        <f t="shared" si="5"/>
        <v>34.784342130726031</v>
      </c>
      <c r="E19" s="1">
        <f t="shared" si="6"/>
        <v>9.0693563631958796E-2</v>
      </c>
      <c r="F19" s="1">
        <f t="shared" si="1"/>
        <v>2.6073100158432064E-3</v>
      </c>
      <c r="G19" s="1">
        <f t="shared" si="0"/>
        <v>1.9425740648775656</v>
      </c>
    </row>
    <row r="20" spans="1:7" x14ac:dyDescent="0.4">
      <c r="A20" s="1">
        <f t="shared" si="2"/>
        <v>1.9425740648775656</v>
      </c>
      <c r="B20" s="1">
        <f t="shared" si="3"/>
        <v>3.9394378187450911</v>
      </c>
      <c r="C20" s="1">
        <f t="shared" si="4"/>
        <v>8.2466860730193048E-2</v>
      </c>
      <c r="D20" s="1">
        <f t="shared" si="5"/>
        <v>34.796017742173063</v>
      </c>
      <c r="E20" s="1">
        <f t="shared" si="6"/>
        <v>8.2466860730193048E-2</v>
      </c>
      <c r="F20" s="1">
        <f t="shared" si="1"/>
        <v>2.3700085837766007E-3</v>
      </c>
      <c r="G20" s="1">
        <f t="shared" si="0"/>
        <v>1.9423786177097579</v>
      </c>
    </row>
    <row r="21" spans="1:7" x14ac:dyDescent="0.4">
      <c r="A21" s="1">
        <f t="shared" si="2"/>
        <v>1.9423786177097579</v>
      </c>
      <c r="B21" s="1">
        <f t="shared" si="3"/>
        <v>3.9394223654890652</v>
      </c>
      <c r="C21" s="1">
        <f t="shared" si="4"/>
        <v>7.5665134467556072E-2</v>
      </c>
      <c r="D21" s="1">
        <f t="shared" si="5"/>
        <v>34.805669034296074</v>
      </c>
      <c r="E21" s="1">
        <f t="shared" si="6"/>
        <v>7.5665134467556072E-2</v>
      </c>
      <c r="F21" s="1">
        <f t="shared" si="1"/>
        <v>2.1739313326515504E-3</v>
      </c>
      <c r="G21" s="1">
        <f t="shared" si="0"/>
        <v>1.9422141269031497</v>
      </c>
    </row>
    <row r="22" spans="1:7" x14ac:dyDescent="0.4">
      <c r="A22" s="1">
        <f t="shared" si="2"/>
        <v>1.9422141269031497</v>
      </c>
      <c r="B22" s="1">
        <f t="shared" si="3"/>
        <v>3.9394103901790345</v>
      </c>
      <c r="C22" s="1">
        <f t="shared" si="4"/>
        <v>6.9939253793450007E-2</v>
      </c>
      <c r="D22" s="1">
        <f t="shared" si="5"/>
        <v>34.813792394203574</v>
      </c>
      <c r="E22" s="1">
        <f t="shared" si="6"/>
        <v>6.9939253793450007E-2</v>
      </c>
      <c r="F22" s="1">
        <f t="shared" si="1"/>
        <v>2.0089524577361112E-3</v>
      </c>
      <c r="G22" s="1">
        <f t="shared" si="0"/>
        <v>1.9420736222673491</v>
      </c>
    </row>
    <row r="23" spans="1:7" x14ac:dyDescent="0.4">
      <c r="A23" s="1">
        <f t="shared" si="2"/>
        <v>1.9420736222673491</v>
      </c>
      <c r="B23" s="1">
        <f t="shared" si="3"/>
        <v>3.9394009070516631</v>
      </c>
      <c r="C23" s="1">
        <f t="shared" si="4"/>
        <v>6.5047267074561432E-2</v>
      </c>
      <c r="D23" s="1">
        <f t="shared" si="5"/>
        <v>34.820731714013959</v>
      </c>
      <c r="E23" s="1">
        <f t="shared" si="6"/>
        <v>6.5047267074561432E-2</v>
      </c>
      <c r="F23" s="1">
        <f t="shared" si="1"/>
        <v>1.8680614643253603E-3</v>
      </c>
      <c r="G23" s="1">
        <f t="shared" si="0"/>
        <v>1.9419521099743675</v>
      </c>
    </row>
    <row r="24" spans="1:7" x14ac:dyDescent="0.4">
      <c r="A24" s="1">
        <f t="shared" si="2"/>
        <v>1.9419521099743675</v>
      </c>
      <c r="B24" s="1">
        <f t="shared" si="3"/>
        <v>3.9393932600920607</v>
      </c>
      <c r="C24" s="1">
        <f t="shared" si="4"/>
        <v>6.0815755484270539E-2</v>
      </c>
      <c r="D24" s="1">
        <f t="shared" si="5"/>
        <v>34.826733411667504</v>
      </c>
      <c r="E24" s="1">
        <f t="shared" si="6"/>
        <v>6.0815755484270539E-2</v>
      </c>
      <c r="F24" s="1">
        <f t="shared" si="1"/>
        <v>1.7462377181747485E-3</v>
      </c>
      <c r="G24" s="1">
        <f t="shared" si="0"/>
        <v>1.9418459112082815</v>
      </c>
    </row>
    <row r="25" spans="1:7" x14ac:dyDescent="0.4">
      <c r="A25" s="1">
        <f t="shared" si="2"/>
        <v>1.9418459112082815</v>
      </c>
      <c r="B25" s="1">
        <f t="shared" si="3"/>
        <v>3.9393869979347471</v>
      </c>
      <c r="C25" s="1">
        <f t="shared" si="4"/>
        <v>5.7116920831987272E-2</v>
      </c>
      <c r="D25" s="1">
        <f t="shared" si="5"/>
        <v>34.831979038520814</v>
      </c>
      <c r="E25" s="1">
        <f t="shared" si="6"/>
        <v>5.7116920831987272E-2</v>
      </c>
      <c r="F25" s="1">
        <f t="shared" si="1"/>
        <v>1.639783968887368E-3</v>
      </c>
      <c r="G25" s="1">
        <f t="shared" si="0"/>
        <v>1.9417522517971491</v>
      </c>
    </row>
    <row r="26" spans="1:7" x14ac:dyDescent="0.4">
      <c r="A26" s="1">
        <f t="shared" si="2"/>
        <v>1.9417522517971491</v>
      </c>
      <c r="B26" s="1">
        <f t="shared" si="3"/>
        <v>3.9393818011789108</v>
      </c>
      <c r="C26" s="1">
        <f t="shared" si="4"/>
        <v>5.3854361531705308E-2</v>
      </c>
      <c r="D26" s="1">
        <f t="shared" si="5"/>
        <v>34.836605515785294</v>
      </c>
      <c r="E26" s="1">
        <f t="shared" si="6"/>
        <v>5.3854361531705308E-2</v>
      </c>
      <c r="F26" s="1">
        <f t="shared" si="1"/>
        <v>1.5459130054247857E-3</v>
      </c>
      <c r="G26" s="1">
        <f t="shared" si="0"/>
        <v>1.9416689976392583</v>
      </c>
    </row>
    <row r="27" spans="1:7" x14ac:dyDescent="0.4">
      <c r="A27" s="1">
        <f t="shared" si="2"/>
        <v>1.9416689976392583</v>
      </c>
      <c r="B27" s="1">
        <f t="shared" si="3"/>
        <v>3.9393774383148354</v>
      </c>
      <c r="C27" s="1">
        <f t="shared" si="4"/>
        <v>5.0953898078546445E-2</v>
      </c>
      <c r="D27" s="1">
        <f t="shared" si="5"/>
        <v>34.840718183352521</v>
      </c>
      <c r="E27" s="1">
        <f t="shared" si="6"/>
        <v>5.0953898078546445E-2</v>
      </c>
      <c r="F27" s="1">
        <f t="shared" si="1"/>
        <v>1.4624812786693091E-3</v>
      </c>
      <c r="G27" s="1">
        <f t="shared" si="0"/>
        <v>1.9415944785172432</v>
      </c>
    </row>
    <row r="28" spans="1:7" x14ac:dyDescent="0.4">
      <c r="A28" s="1">
        <f t="shared" si="2"/>
        <v>1.9415944785172432</v>
      </c>
      <c r="B28" s="1">
        <f t="shared" si="3"/>
        <v>3.9393737380154903</v>
      </c>
      <c r="C28" s="1">
        <f t="shared" si="4"/>
        <v>4.835746118607176E-2</v>
      </c>
      <c r="D28" s="1">
        <f t="shared" si="5"/>
        <v>34.844399490448382</v>
      </c>
      <c r="E28" s="1">
        <f t="shared" si="6"/>
        <v>4.835746118607176E-2</v>
      </c>
      <c r="F28" s="1">
        <f t="shared" si="1"/>
        <v>1.3878115821547622E-3</v>
      </c>
      <c r="G28" s="1">
        <f t="shared" si="0"/>
        <v>1.9415273674725255</v>
      </c>
    </row>
    <row r="29" spans="1:7" x14ac:dyDescent="0.4">
      <c r="A29" s="1">
        <f t="shared" si="2"/>
        <v>1.9415273674725255</v>
      </c>
      <c r="B29" s="1">
        <f t="shared" si="3"/>
        <v>3.9393705711659663</v>
      </c>
      <c r="C29" s="1">
        <f t="shared" si="4"/>
        <v>4.6018905882476702E-2</v>
      </c>
      <c r="D29" s="1">
        <f t="shared" si="5"/>
        <v>34.847714946375106</v>
      </c>
      <c r="E29" s="1">
        <f t="shared" si="6"/>
        <v>4.6018905882476702E-2</v>
      </c>
      <c r="F29" s="1">
        <f t="shared" si="1"/>
        <v>1.3205716918108467E-3</v>
      </c>
      <c r="G29" s="1">
        <f t="shared" si="0"/>
        <v>1.941466596208129</v>
      </c>
    </row>
    <row r="30" spans="1:7" x14ac:dyDescent="0.4">
      <c r="A30" s="1">
        <f t="shared" si="2"/>
        <v>1.941466596208129</v>
      </c>
      <c r="B30" s="1">
        <f t="shared" si="3"/>
        <v>3.9393678388895523</v>
      </c>
      <c r="C30" s="1">
        <f t="shared" si="4"/>
        <v>4.3901074956096409E-2</v>
      </c>
      <c r="D30" s="1">
        <f t="shared" si="5"/>
        <v>34.850717294323374</v>
      </c>
      <c r="E30" s="1">
        <f t="shared" si="6"/>
        <v>4.3901074956096409E-2</v>
      </c>
      <c r="F30" s="1">
        <f t="shared" si="1"/>
        <v>1.2596892794297578E-3</v>
      </c>
      <c r="G30" s="1">
        <f t="shared" si="0"/>
        <v>1.9414112944946513</v>
      </c>
    </row>
    <row r="31" spans="1:7" x14ac:dyDescent="0.4">
      <c r="A31" s="1">
        <f t="shared" si="2"/>
        <v>1.9414112944946513</v>
      </c>
      <c r="B31" s="1">
        <f t="shared" si="3"/>
        <v>3.9393654643779143</v>
      </c>
      <c r="C31" s="1">
        <f t="shared" si="4"/>
        <v>4.1973695026285895E-2</v>
      </c>
      <c r="D31" s="1">
        <f t="shared" si="5"/>
        <v>34.853449501210235</v>
      </c>
      <c r="E31" s="1">
        <f t="shared" si="6"/>
        <v>4.1973695026285895E-2</v>
      </c>
      <c r="F31" s="1">
        <f t="shared" si="1"/>
        <v>1.2042909848802316E-3</v>
      </c>
      <c r="G31" s="1">
        <f t="shared" si="0"/>
        <v>1.9413607459521292</v>
      </c>
    </row>
    <row r="32" spans="1:7" x14ac:dyDescent="0.4">
      <c r="A32" s="1">
        <f t="shared" si="2"/>
        <v>1.9413607459521292</v>
      </c>
      <c r="B32" s="1">
        <f t="shared" si="3"/>
        <v>3.9393633871978295</v>
      </c>
      <c r="C32" s="1">
        <f t="shared" si="4"/>
        <v>4.0211840831375412E-2</v>
      </c>
      <c r="D32" s="1">
        <f t="shared" si="5"/>
        <v>34.855946939681274</v>
      </c>
      <c r="E32" s="1">
        <f t="shared" si="6"/>
        <v>4.0211840831375412E-2</v>
      </c>
      <c r="F32" s="1">
        <f t="shared" si="1"/>
        <v>1.1536579654818327E-3</v>
      </c>
      <c r="G32" s="1">
        <f t="shared" si="0"/>
        <v>1.9413143552416474</v>
      </c>
    </row>
    <row r="33" spans="1:7" x14ac:dyDescent="0.4">
      <c r="A33" s="1">
        <f t="shared" si="2"/>
        <v>1.9413143552416474</v>
      </c>
      <c r="B33" s="1">
        <f t="shared" si="3"/>
        <v>3.9393615592495053</v>
      </c>
      <c r="C33" s="1">
        <f t="shared" si="4"/>
        <v>3.8594795523266612E-2</v>
      </c>
      <c r="D33" s="1">
        <f t="shared" si="5"/>
        <v>34.858239007209363</v>
      </c>
      <c r="E33" s="1">
        <f t="shared" si="6"/>
        <v>3.8594795523266612E-2</v>
      </c>
      <c r="F33" s="1">
        <f t="shared" si="1"/>
        <v>1.1071929226053117E-3</v>
      </c>
      <c r="G33" s="1">
        <f t="shared" si="0"/>
        <v>1.9412716233571947</v>
      </c>
    </row>
    <row r="34" spans="1:7" x14ac:dyDescent="0.4">
      <c r="A34" s="1">
        <f t="shared" si="2"/>
        <v>1.9412716233571947</v>
      </c>
      <c r="B34" s="1">
        <f t="shared" si="3"/>
        <v>3.939359941847556</v>
      </c>
      <c r="C34" s="1">
        <f t="shared" si="4"/>
        <v>3.7105192171168255E-2</v>
      </c>
      <c r="D34" s="1">
        <f t="shared" si="5"/>
        <v>34.860350345531856</v>
      </c>
      <c r="E34" s="1">
        <f t="shared" si="6"/>
        <v>3.7105192171168255E-2</v>
      </c>
      <c r="F34" s="1">
        <f t="shared" si="1"/>
        <v>1.0643952743843875E-3</v>
      </c>
      <c r="G34" s="1">
        <f t="shared" si="0"/>
        <v>1.9412321287659926</v>
      </c>
    </row>
    <row r="35" spans="1:7" x14ac:dyDescent="0.4">
      <c r="A35" s="1">
        <f t="shared" si="2"/>
        <v>1.9412321287659926</v>
      </c>
      <c r="B35" s="1">
        <f t="shared" si="3"/>
        <v>3.9393585035817011</v>
      </c>
      <c r="C35" s="1">
        <f t="shared" si="4"/>
        <v>3.5728358349814471E-2</v>
      </c>
      <c r="D35" s="1">
        <f t="shared" si="5"/>
        <v>34.862301771504889</v>
      </c>
      <c r="E35" s="1">
        <f t="shared" si="6"/>
        <v>3.5728358349814471E-2</v>
      </c>
      <c r="F35" s="1">
        <f t="shared" si="1"/>
        <v>1.0248422087556326E-3</v>
      </c>
      <c r="G35" s="1">
        <f t="shared" si="0"/>
        <v>1.9411955128363061</v>
      </c>
    </row>
    <row r="36" spans="1:7" x14ac:dyDescent="0.4">
      <c r="A36" s="1">
        <f t="shared" si="2"/>
        <v>1.9411955128363061</v>
      </c>
      <c r="B36" s="1">
        <f t="shared" si="3"/>
        <v>3.9393572187254335</v>
      </c>
      <c r="C36" s="1">
        <f t="shared" si="4"/>
        <v>3.4451809636351527E-2</v>
      </c>
      <c r="D36" s="1">
        <f t="shared" si="5"/>
        <v>34.864110996384341</v>
      </c>
      <c r="E36" s="1">
        <f t="shared" si="6"/>
        <v>3.4451809636351527E-2</v>
      </c>
      <c r="F36" s="1">
        <f t="shared" si="1"/>
        <v>9.881740463688986E-4</v>
      </c>
      <c r="G36" s="1">
        <f t="shared" si="0"/>
        <v>1.941161468452173</v>
      </c>
    </row>
    <row r="37" spans="1:7" x14ac:dyDescent="0.4">
      <c r="A37" s="1">
        <f t="shared" si="2"/>
        <v>1.941161468452173</v>
      </c>
      <c r="B37" s="1">
        <f t="shared" si="3"/>
        <v>3.9393560660392382</v>
      </c>
      <c r="C37" s="1">
        <f t="shared" si="4"/>
        <v>3.3264853814614526E-2</v>
      </c>
      <c r="D37" s="1">
        <f t="shared" si="5"/>
        <v>34.865793187832168</v>
      </c>
      <c r="E37" s="1">
        <f t="shared" si="6"/>
        <v>3.3264853814614526E-2</v>
      </c>
      <c r="F37" s="1">
        <f t="shared" si="1"/>
        <v>9.5408280647473257E-4</v>
      </c>
      <c r="G37" s="1">
        <f t="shared" si="0"/>
        <v>1.9411297310270885</v>
      </c>
    </row>
    <row r="38" spans="1:7" x14ac:dyDescent="0.4">
      <c r="A38" s="1">
        <f t="shared" si="2"/>
        <v>1.9411297310270885</v>
      </c>
      <c r="B38" s="1">
        <f t="shared" si="3"/>
        <v>3.9393550278581984</v>
      </c>
      <c r="C38" s="1">
        <f t="shared" si="4"/>
        <v>3.2158278429704978E-2</v>
      </c>
      <c r="D38" s="1">
        <f t="shared" si="5"/>
        <v>34.867361413527078</v>
      </c>
      <c r="E38" s="1">
        <f t="shared" si="6"/>
        <v>3.2158278429704978E-2</v>
      </c>
      <c r="F38" s="1">
        <f t="shared" si="1"/>
        <v>9.2230318343586824E-4</v>
      </c>
      <c r="G38" s="1">
        <f t="shared" si="0"/>
        <v>1.941100071344519</v>
      </c>
    </row>
    <row r="39" spans="1:7" x14ac:dyDescent="0.4">
      <c r="A39" s="1">
        <f t="shared" si="2"/>
        <v>1.941100071344519</v>
      </c>
      <c r="B39" s="1">
        <f t="shared" si="3"/>
        <v>3.9393540893904628</v>
      </c>
      <c r="C39" s="1">
        <f t="shared" si="4"/>
        <v>3.1124101823820638E-2</v>
      </c>
      <c r="D39" s="1">
        <f t="shared" si="5"/>
        <v>34.868826994610544</v>
      </c>
      <c r="E39" s="1">
        <f t="shared" si="6"/>
        <v>3.1124101823820638E-2</v>
      </c>
      <c r="F39" s="1">
        <f t="shared" si="1"/>
        <v>8.9260535860960554E-4</v>
      </c>
      <c r="G39" s="1">
        <f t="shared" si="0"/>
        <v>1.9410722898044492</v>
      </c>
    </row>
    <row r="40" spans="1:7" x14ac:dyDescent="0.4">
      <c r="A40" s="1">
        <f t="shared" si="2"/>
        <v>1.9410722898044492</v>
      </c>
      <c r="B40" s="1">
        <f t="shared" si="3"/>
        <v>3.939353238171293</v>
      </c>
      <c r="C40" s="1">
        <f t="shared" si="4"/>
        <v>3.0155373040344102E-2</v>
      </c>
      <c r="D40" s="1">
        <f t="shared" si="5"/>
        <v>34.870199789733135</v>
      </c>
      <c r="E40" s="1">
        <f t="shared" si="6"/>
        <v>3.0155373040344102E-2</v>
      </c>
      <c r="F40" s="1">
        <f t="shared" si="1"/>
        <v>8.6478922467266093E-4</v>
      </c>
      <c r="G40" s="1">
        <f t="shared" si="0"/>
        <v>1.941046211762778</v>
      </c>
    </row>
    <row r="41" spans="1:7" x14ac:dyDescent="0.4">
      <c r="A41" s="1">
        <f t="shared" si="2"/>
        <v>1.941046211762778</v>
      </c>
      <c r="B41" s="1">
        <f t="shared" si="3"/>
        <v>3.9393524636353163</v>
      </c>
      <c r="C41" s="1">
        <f t="shared" si="4"/>
        <v>2.9246009714654519E-2</v>
      </c>
      <c r="D41" s="1">
        <f t="shared" si="5"/>
        <v>34.871488425156883</v>
      </c>
      <c r="E41" s="1">
        <f t="shared" si="6"/>
        <v>2.9246009714654519E-2</v>
      </c>
      <c r="F41" s="1">
        <f t="shared" si="1"/>
        <v>8.3867970756177853E-4</v>
      </c>
      <c r="G41" s="1">
        <f t="shared" si="0"/>
        <v>1.9410216837279033</v>
      </c>
    </row>
    <row r="42" spans="1:7" x14ac:dyDescent="0.4">
      <c r="A42" s="1">
        <f t="shared" si="2"/>
        <v>1.9410216837279033</v>
      </c>
      <c r="B42" s="1">
        <f t="shared" si="3"/>
        <v>3.939351756778052</v>
      </c>
      <c r="C42" s="1">
        <f t="shared" si="4"/>
        <v>2.839066576575533E-2</v>
      </c>
      <c r="D42" s="1">
        <f t="shared" si="5"/>
        <v>34.872700482544161</v>
      </c>
      <c r="E42" s="1">
        <f t="shared" si="6"/>
        <v>2.839066576575533E-2</v>
      </c>
      <c r="F42" s="1">
        <f t="shared" si="1"/>
        <v>8.1412294926704997E-4</v>
      </c>
      <c r="G42" s="1">
        <f t="shared" si="0"/>
        <v>1.9409985702353585</v>
      </c>
    </row>
    <row r="43" spans="1:7" x14ac:dyDescent="0.4">
      <c r="A43" s="1">
        <f t="shared" si="2"/>
        <v>1.9409985702353585</v>
      </c>
      <c r="B43" s="1">
        <f t="shared" si="3"/>
        <v>3.9393511098858198</v>
      </c>
      <c r="C43" s="1">
        <f t="shared" si="4"/>
        <v>2.7584622663368918E-2</v>
      </c>
      <c r="D43" s="1">
        <f t="shared" si="5"/>
        <v>34.873842653274039</v>
      </c>
      <c r="E43" s="1">
        <f t="shared" si="6"/>
        <v>2.7584622663368918E-2</v>
      </c>
      <c r="F43" s="1">
        <f t="shared" si="1"/>
        <v>7.9098317147391296E-4</v>
      </c>
      <c r="G43" s="1">
        <f t="shared" si="0"/>
        <v>1.9409767512630403</v>
      </c>
    </row>
    <row r="44" spans="1:7" x14ac:dyDescent="0.4">
      <c r="A44" s="1">
        <f t="shared" si="2"/>
        <v>1.9409767512630403</v>
      </c>
      <c r="B44" s="1">
        <f t="shared" si="3"/>
        <v>3.9393505163189388</v>
      </c>
      <c r="C44" s="1">
        <f t="shared" si="4"/>
        <v>2.6823699493149888E-2</v>
      </c>
      <c r="D44" s="1">
        <f t="shared" si="5"/>
        <v>34.874920866071648</v>
      </c>
      <c r="E44" s="1">
        <f t="shared" si="6"/>
        <v>2.6823699493149888E-2</v>
      </c>
      <c r="F44" s="1">
        <f t="shared" si="1"/>
        <v>7.6914008195630185E-4</v>
      </c>
      <c r="G44" s="1">
        <f t="shared" si="0"/>
        <v>1.9409561200806138</v>
      </c>
    </row>
    <row r="45" spans="1:7" x14ac:dyDescent="0.4">
      <c r="A45" s="1">
        <f t="shared" si="2"/>
        <v>1.9409561200806138</v>
      </c>
      <c r="B45" s="1">
        <f t="shared" si="3"/>
        <v>3.9393499703365649</v>
      </c>
      <c r="C45" s="1">
        <f t="shared" si="4"/>
        <v>2.6104178121670429E-2</v>
      </c>
      <c r="D45" s="1">
        <f t="shared" si="5"/>
        <v>34.875940393201745</v>
      </c>
      <c r="E45" s="1">
        <f t="shared" si="6"/>
        <v>2.6104178121670429E-2</v>
      </c>
      <c r="F45" s="1">
        <f t="shared" si="1"/>
        <v>7.4848671684158612E-4</v>
      </c>
      <c r="G45" s="1">
        <f t="shared" si="0"/>
        <v>1.9409365814500357</v>
      </c>
    </row>
    <row r="46" spans="1:7" x14ac:dyDescent="0.4">
      <c r="A46" s="1">
        <f t="shared" si="2"/>
        <v>1.9409365814500357</v>
      </c>
      <c r="B46" s="1">
        <f t="shared" si="3"/>
        <v>3.9393494669538427</v>
      </c>
      <c r="C46" s="1">
        <f t="shared" si="4"/>
        <v>2.5422740573560532E-2</v>
      </c>
      <c r="D46" s="1">
        <f t="shared" si="5"/>
        <v>34.876905939327969</v>
      </c>
      <c r="E46" s="1">
        <f t="shared" si="6"/>
        <v>2.5422740573560532E-2</v>
      </c>
      <c r="F46" s="1">
        <f t="shared" si="1"/>
        <v>7.2892763531793941E-4</v>
      </c>
      <c r="G46" s="1">
        <f t="shared" si="0"/>
        <v>1.9409180501118661</v>
      </c>
    </row>
    <row r="47" spans="1:7" x14ac:dyDescent="0.4">
      <c r="A47" s="1">
        <f t="shared" si="2"/>
        <v>1.9409180501118661</v>
      </c>
      <c r="B47" s="1">
        <f t="shared" si="3"/>
        <v>3.9393490018250645</v>
      </c>
      <c r="C47" s="1">
        <f t="shared" si="4"/>
        <v>2.4776416349965302E-2</v>
      </c>
      <c r="D47" s="1">
        <f t="shared" si="5"/>
        <v>34.877821716261451</v>
      </c>
      <c r="E47" s="1">
        <f t="shared" si="6"/>
        <v>2.4776416349965302E-2</v>
      </c>
      <c r="F47" s="1">
        <f t="shared" si="1"/>
        <v>7.1037740118998129E-4</v>
      </c>
      <c r="G47" s="1">
        <f t="shared" si="0"/>
        <v>1.9409004495056086</v>
      </c>
    </row>
    <row r="48" spans="1:7" x14ac:dyDescent="0.4">
      <c r="A48" s="1">
        <f t="shared" si="2"/>
        <v>1.9409004495056086</v>
      </c>
      <c r="B48" s="1">
        <f t="shared" si="3"/>
        <v>3.9393485711473204</v>
      </c>
      <c r="C48" s="1">
        <f t="shared" si="4"/>
        <v>2.4162537888457791E-2</v>
      </c>
      <c r="D48" s="1">
        <f t="shared" si="5"/>
        <v>34.878691506154468</v>
      </c>
      <c r="E48" s="1">
        <f t="shared" si="6"/>
        <v>2.4162537888457791E-2</v>
      </c>
      <c r="F48" s="1">
        <f t="shared" si="1"/>
        <v>6.9275929930439695E-4</v>
      </c>
      <c r="G48" s="1">
        <f t="shared" si="0"/>
        <v>1.9408837106827916</v>
      </c>
    </row>
    <row r="49" spans="1:7" x14ac:dyDescent="0.4">
      <c r="A49" s="1">
        <f t="shared" si="2"/>
        <v>1.9408837106827916</v>
      </c>
      <c r="B49" s="1">
        <f t="shared" si="3"/>
        <v>3.9393481715812584</v>
      </c>
      <c r="C49" s="1">
        <f t="shared" si="4"/>
        <v>2.3578702728002554E-2</v>
      </c>
      <c r="D49" s="1">
        <f t="shared" si="5"/>
        <v>34.879518715177653</v>
      </c>
      <c r="E49" s="1">
        <f t="shared" si="6"/>
        <v>2.3578702728002554E-2</v>
      </c>
      <c r="F49" s="1">
        <f t="shared" si="1"/>
        <v>6.7600424537229628E-4</v>
      </c>
      <c r="G49" s="1">
        <f t="shared" si="0"/>
        <v>1.9408677713796472</v>
      </c>
    </row>
    <row r="50" spans="1:7" x14ac:dyDescent="0.4">
      <c r="A50" s="1">
        <f t="shared" si="2"/>
        <v>1.9408677713796472</v>
      </c>
      <c r="B50" s="1">
        <f t="shared" si="3"/>
        <v>3.9393478001840094</v>
      </c>
      <c r="C50" s="1">
        <f t="shared" si="4"/>
        <v>2.3022741227919141E-2</v>
      </c>
      <c r="D50" s="1">
        <f t="shared" si="5"/>
        <v>34.880306419316241</v>
      </c>
      <c r="E50" s="1">
        <f t="shared" si="6"/>
        <v>2.3022741227919141E-2</v>
      </c>
      <c r="F50" s="1">
        <f t="shared" si="1"/>
        <v>6.6004985596025212E-4</v>
      </c>
      <c r="G50" s="1">
        <f t="shared" si="0"/>
        <v>1.9408525752226158</v>
      </c>
    </row>
    <row r="51" spans="1:7" x14ac:dyDescent="0.4">
      <c r="A51" s="1">
        <f t="shared" si="2"/>
        <v>1.9408525752226158</v>
      </c>
      <c r="B51" s="1">
        <f t="shared" si="3"/>
        <v>3.9393474543541629</v>
      </c>
      <c r="C51" s="1">
        <f t="shared" si="4"/>
        <v>2.2492688908300806E-2</v>
      </c>
      <c r="D51" s="1">
        <f t="shared" si="5"/>
        <v>34.881057403607997</v>
      </c>
      <c r="E51" s="1">
        <f t="shared" si="6"/>
        <v>2.2492688908300806E-2</v>
      </c>
      <c r="F51" s="1">
        <f t="shared" si="1"/>
        <v>6.4483965173527753E-4</v>
      </c>
      <c r="G51" s="1">
        <f t="shared" si="0"/>
        <v>1.9408380710449336</v>
      </c>
    </row>
    <row r="52" spans="1:7" x14ac:dyDescent="0.4">
      <c r="A52" s="1">
        <f t="shared" si="2"/>
        <v>1.9408380710449336</v>
      </c>
      <c r="B52" s="1">
        <f t="shared" si="3"/>
        <v>3.9393471317852118</v>
      </c>
      <c r="C52" s="1">
        <f t="shared" si="4"/>
        <v>2.198676265567201E-2</v>
      </c>
      <c r="D52" s="1">
        <f t="shared" si="5"/>
        <v>34.881774195895417</v>
      </c>
      <c r="E52" s="1">
        <f t="shared" si="6"/>
        <v>2.198676265567201E-2</v>
      </c>
      <c r="F52" s="1">
        <f t="shared" si="1"/>
        <v>6.3032237214181671E-4</v>
      </c>
      <c r="G52" s="1">
        <f t="shared" si="0"/>
        <v>1.9408242122965407</v>
      </c>
    </row>
    <row r="53" spans="1:7" x14ac:dyDescent="0.4">
      <c r="A53" s="1">
        <f t="shared" si="2"/>
        <v>1.9408242122965407</v>
      </c>
      <c r="B53" s="1">
        <f t="shared" si="3"/>
        <v>3.9393468304259898</v>
      </c>
      <c r="C53" s="1">
        <f t="shared" si="4"/>
        <v>2.1503340177730479E-2</v>
      </c>
      <c r="D53" s="1">
        <f t="shared" si="5"/>
        <v>34.882459095969921</v>
      </c>
      <c r="E53" s="1">
        <f t="shared" si="6"/>
        <v>2.1503340177730479E-2</v>
      </c>
      <c r="F53" s="1">
        <f t="shared" si="1"/>
        <v>6.1645138373328805E-4</v>
      </c>
      <c r="G53" s="1">
        <f t="shared" si="0"/>
        <v>1.9408109565327332</v>
      </c>
    </row>
    <row r="54" spans="1:7" x14ac:dyDescent="0.4">
      <c r="A54" s="1">
        <f t="shared" si="2"/>
        <v>1.9408109565327332</v>
      </c>
      <c r="B54" s="1">
        <f t="shared" si="3"/>
        <v>3.939346548447503</v>
      </c>
      <c r="C54" s="1">
        <f t="shared" si="4"/>
        <v>2.1040942196947299E-2</v>
      </c>
      <c r="D54" s="1">
        <f t="shared" si="5"/>
        <v>34.883114200827634</v>
      </c>
      <c r="E54" s="1">
        <f t="shared" si="6"/>
        <v>2.1040942196947299E-2</v>
      </c>
      <c r="F54" s="1">
        <f t="shared" si="1"/>
        <v>6.0318416744019039E-4</v>
      </c>
      <c r="G54" s="1">
        <f t="shared" si="0"/>
        <v>1.9407982649695319</v>
      </c>
    </row>
    <row r="55" spans="1:7" x14ac:dyDescent="0.4">
      <c r="A55" s="1">
        <f t="shared" si="2"/>
        <v>1.9407982649695319</v>
      </c>
      <c r="B55" s="1">
        <f t="shared" si="3"/>
        <v>3.93934628421448</v>
      </c>
      <c r="C55" s="1">
        <f t="shared" si="4"/>
        <v>2.0598216968153338E-2</v>
      </c>
      <c r="D55" s="1">
        <f t="shared" si="5"/>
        <v>34.883741426629882</v>
      </c>
      <c r="E55" s="1">
        <f t="shared" si="6"/>
        <v>2.0598216968153338E-2</v>
      </c>
      <c r="F55" s="1">
        <f t="shared" si="1"/>
        <v>5.9048187280819813E-4</v>
      </c>
      <c r="G55" s="1">
        <f t="shared" si="0"/>
        <v>1.9407861020957999</v>
      </c>
    </row>
    <row r="56" spans="1:7" x14ac:dyDescent="0.4">
      <c r="A56" s="1">
        <f t="shared" si="2"/>
        <v>1.9407861020957999</v>
      </c>
      <c r="B56" s="1">
        <f t="shared" si="3"/>
        <v>3.93934603626127</v>
      </c>
      <c r="C56" s="1">
        <f t="shared" si="4"/>
        <v>2.0173926770326034E-2</v>
      </c>
      <c r="D56" s="1">
        <f t="shared" si="5"/>
        <v>34.884342527861691</v>
      </c>
      <c r="E56" s="1">
        <f t="shared" si="6"/>
        <v>2.0173926770326034E-2</v>
      </c>
      <c r="F56" s="1">
        <f t="shared" si="1"/>
        <v>5.7830892911951454E-4</v>
      </c>
      <c r="G56" s="1">
        <f t="shared" si="0"/>
        <v>1.9407744353338132</v>
      </c>
    </row>
    <row r="57" spans="1:7" x14ac:dyDescent="0.4">
      <c r="A57" s="1">
        <f t="shared" si="2"/>
        <v>1.9407744353338132</v>
      </c>
      <c r="B57" s="1">
        <f t="shared" si="3"/>
        <v>3.9393458032709816</v>
      </c>
      <c r="C57" s="1">
        <f t="shared" si="4"/>
        <v>1.9766936085574116E-2</v>
      </c>
      <c r="D57" s="1">
        <f t="shared" si="5"/>
        <v>34.884919114097301</v>
      </c>
      <c r="E57" s="1">
        <f t="shared" si="6"/>
        <v>1.9766936085574116E-2</v>
      </c>
      <c r="F57" s="1">
        <f t="shared" si="1"/>
        <v>5.6663270512174199E-4</v>
      </c>
      <c r="G57" s="1">
        <f t="shared" si="0"/>
        <v>1.940763234741347</v>
      </c>
    </row>
    <row r="58" spans="1:7" x14ac:dyDescent="0.4">
      <c r="A58" s="1">
        <f t="shared" si="2"/>
        <v>1.940763234741347</v>
      </c>
      <c r="B58" s="1">
        <f t="shared" si="3"/>
        <v>3.9393455840577758</v>
      </c>
      <c r="C58" s="1">
        <f t="shared" si="4"/>
        <v>1.937620122333783E-2</v>
      </c>
      <c r="D58" s="1">
        <f t="shared" si="5"/>
        <v>34.885472664715053</v>
      </c>
      <c r="E58" s="1">
        <f t="shared" si="6"/>
        <v>1.937620122333783E-2</v>
      </c>
      <c r="F58" s="1">
        <f t="shared" si="1"/>
        <v>5.554232103879707E-4</v>
      </c>
      <c r="G58" s="1">
        <f t="shared" si="0"/>
        <v>1.9407524727494585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8F62-C524-4868-8A1A-EE4129B1F33D}">
  <dimension ref="A1:J58"/>
  <sheetViews>
    <sheetView workbookViewId="0">
      <selection activeCell="F10" sqref="F10"/>
    </sheetView>
  </sheetViews>
  <sheetFormatPr defaultRowHeight="18.75" x14ac:dyDescent="0.4"/>
  <cols>
    <col min="1" max="1" width="6.125" style="1" bestFit="1" customWidth="1"/>
    <col min="2" max="2" width="8.125" style="1" bestFit="1" customWidth="1"/>
    <col min="3" max="5" width="7.125" style="1" bestFit="1" customWidth="1"/>
    <col min="6" max="6" width="6" style="1" bestFit="1" customWidth="1"/>
    <col min="7" max="7" width="6.125" style="1" customWidth="1"/>
    <col min="9" max="9" width="7.875" bestFit="1" customWidth="1"/>
    <col min="10" max="10" width="9.375" bestFit="1" customWidth="1"/>
  </cols>
  <sheetData>
    <row r="1" spans="1:10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/>
    </row>
    <row r="2" spans="1:10" x14ac:dyDescent="0.4">
      <c r="A2" s="3">
        <v>6</v>
      </c>
      <c r="B2" s="1">
        <f>A2^4-16*A2^3+88*A2^2-190*A2+144</f>
        <v>12</v>
      </c>
      <c r="C2" s="1">
        <f>4*A2^3-48*A2^2+176*A2-190</f>
        <v>2</v>
      </c>
      <c r="D2" s="1">
        <f>12*A2^2-96*A2+176</f>
        <v>32</v>
      </c>
      <c r="E2" s="1">
        <f>C2</f>
        <v>2</v>
      </c>
      <c r="F2" s="1">
        <f>IF(ABS(-C2/D2)&lt;0.01,-C2/D2,SIGN(-C2/D2)*0.01)</f>
        <v>-0.01</v>
      </c>
      <c r="G2" s="1">
        <f>A2-E2*F2</f>
        <v>6.02</v>
      </c>
    </row>
    <row r="3" spans="1:10" x14ac:dyDescent="0.4">
      <c r="A3" s="1">
        <f>G2</f>
        <v>6.02</v>
      </c>
      <c r="B3" s="1">
        <f>A3^4-16*A3^3+88*A3^2-190*A3+144</f>
        <v>12.046464159999459</v>
      </c>
      <c r="C3" s="1">
        <f>4*A3^3-48*A3^2+176*A3-190</f>
        <v>2.6496320000001106</v>
      </c>
      <c r="D3" s="1">
        <f>12*A3^2-96*A3+176</f>
        <v>32.964799999999968</v>
      </c>
      <c r="E3" s="1">
        <f>C3</f>
        <v>2.6496320000001106</v>
      </c>
      <c r="F3" s="1">
        <f t="shared" ref="F3:F58" si="0">IF(ABS(-C3/D3)&lt;0.01,-C3/D3,SIGN(-C3/D3)*0.01)</f>
        <v>-0.01</v>
      </c>
      <c r="G3" s="1">
        <f t="shared" ref="G3:G58" si="1">A3-E3*F3</f>
        <v>6.046496320000001</v>
      </c>
    </row>
    <row r="4" spans="1:10" ht="19.5" thickBot="1" x14ac:dyDescent="0.45">
      <c r="A4" s="1">
        <f>G3</f>
        <v>6.046496320000001</v>
      </c>
      <c r="B4" s="1">
        <f>A4^4-16*A4^3+88*A4^2-190*A4+144</f>
        <v>12.128392004266971</v>
      </c>
      <c r="C4" s="1">
        <f>4*A4^3-48*A4^2+176*A4-190</f>
        <v>3.5401701095876206</v>
      </c>
      <c r="D4" s="1">
        <f>12*A4^2-96*A4+176</f>
        <v>34.257766253282625</v>
      </c>
      <c r="E4" s="1">
        <f>C4</f>
        <v>3.5401701095876206</v>
      </c>
      <c r="F4" s="1">
        <f t="shared" si="0"/>
        <v>-0.01</v>
      </c>
      <c r="G4" s="1">
        <f t="shared" si="1"/>
        <v>6.0818980210958768</v>
      </c>
    </row>
    <row r="5" spans="1:10" ht="37.5" x14ac:dyDescent="0.4">
      <c r="A5" s="1">
        <f>G4</f>
        <v>6.0818980210958768</v>
      </c>
      <c r="B5" s="1">
        <f>A5^4-16*A5^3+88*A5^2-190*A5+144</f>
        <v>12.275552111136676</v>
      </c>
      <c r="C5" s="1">
        <f>4*A5^3-48*A5^2+176*A5-190</f>
        <v>4.7839087894493559</v>
      </c>
      <c r="D5" s="1">
        <f>12*A5^2-96*A5+176</f>
        <v>36.01159244291523</v>
      </c>
      <c r="E5" s="1">
        <f>C5</f>
        <v>4.7839087894493559</v>
      </c>
      <c r="F5" s="1">
        <f t="shared" si="0"/>
        <v>-0.01</v>
      </c>
      <c r="G5" s="1">
        <f t="shared" si="1"/>
        <v>6.1297371089903701</v>
      </c>
      <c r="I5" s="10" t="s">
        <v>9</v>
      </c>
      <c r="J5" s="11" t="s">
        <v>8</v>
      </c>
    </row>
    <row r="6" spans="1:10" x14ac:dyDescent="0.4">
      <c r="A6" s="1">
        <f t="shared" ref="A6:A58" si="2">G5</f>
        <v>6.1297371089903701</v>
      </c>
      <c r="B6" s="1">
        <f t="shared" ref="B6:B58" si="3">A6^4-16*A6^3+88*A6^2-190*A6+144</f>
        <v>12.546534590769852</v>
      </c>
      <c r="C6" s="1">
        <f t="shared" ref="C6:C58" si="4">4*A6^3-48*A6^2+176*A6-190</f>
        <v>6.5642834999168826</v>
      </c>
      <c r="D6" s="1">
        <f t="shared" ref="D6:D58" si="5">12*A6^2-96*A6+176</f>
        <v>38.429361840927925</v>
      </c>
      <c r="E6" s="1">
        <f t="shared" ref="E6:E58" si="6">C6</f>
        <v>6.5642834999168826</v>
      </c>
      <c r="F6" s="1">
        <f t="shared" si="0"/>
        <v>-0.01</v>
      </c>
      <c r="G6" s="1">
        <f t="shared" si="1"/>
        <v>6.195379943989539</v>
      </c>
      <c r="I6" s="26" t="s">
        <v>11</v>
      </c>
      <c r="J6" s="27">
        <v>1.94</v>
      </c>
    </row>
    <row r="7" spans="1:10" x14ac:dyDescent="0.4">
      <c r="A7" s="1">
        <f t="shared" si="2"/>
        <v>6.195379943989539</v>
      </c>
      <c r="B7" s="1">
        <f t="shared" si="3"/>
        <v>13.062656663661073</v>
      </c>
      <c r="C7" s="1">
        <f t="shared" si="4"/>
        <v>9.1981511544439627</v>
      </c>
      <c r="D7" s="1">
        <f t="shared" si="5"/>
        <v>41.83631718165816</v>
      </c>
      <c r="E7" s="1">
        <f t="shared" si="6"/>
        <v>9.1981511544439627</v>
      </c>
      <c r="F7" s="1">
        <f t="shared" si="0"/>
        <v>-0.01</v>
      </c>
      <c r="G7" s="1">
        <f t="shared" si="1"/>
        <v>6.2873614555339783</v>
      </c>
      <c r="I7" s="26" t="s">
        <v>12</v>
      </c>
      <c r="J7" s="27">
        <v>2.7</v>
      </c>
    </row>
    <row r="8" spans="1:10" x14ac:dyDescent="0.4">
      <c r="A8" s="1">
        <f t="shared" si="2"/>
        <v>6.2873614555339783</v>
      </c>
      <c r="B8" s="1">
        <f t="shared" si="3"/>
        <v>14.092602174809599</v>
      </c>
      <c r="C8" s="1">
        <f t="shared" si="4"/>
        <v>13.272322459044403</v>
      </c>
      <c r="D8" s="1">
        <f t="shared" si="5"/>
        <v>46.78426913915024</v>
      </c>
      <c r="E8" s="1">
        <f t="shared" si="6"/>
        <v>13.272322459044403</v>
      </c>
      <c r="F8" s="1">
        <f t="shared" si="0"/>
        <v>-0.01</v>
      </c>
      <c r="G8" s="1">
        <f t="shared" si="1"/>
        <v>6.4200846801244227</v>
      </c>
      <c r="I8" s="26">
        <v>3</v>
      </c>
      <c r="J8" s="27">
        <v>2.7</v>
      </c>
    </row>
    <row r="9" spans="1:10" x14ac:dyDescent="0.4">
      <c r="A9" s="1">
        <f t="shared" si="2"/>
        <v>6.4200846801244227</v>
      </c>
      <c r="B9" s="1">
        <f t="shared" si="3"/>
        <v>16.287912212628498</v>
      </c>
      <c r="C9" s="1">
        <f t="shared" si="4"/>
        <v>19.974548374417282</v>
      </c>
      <c r="D9" s="1">
        <f t="shared" si="5"/>
        <v>54.281718307675135</v>
      </c>
      <c r="E9" s="1">
        <f t="shared" si="6"/>
        <v>19.974548374417282</v>
      </c>
      <c r="F9" s="1">
        <f t="shared" si="0"/>
        <v>-0.01</v>
      </c>
      <c r="G9" s="1">
        <f t="shared" si="1"/>
        <v>6.6198301638685955</v>
      </c>
      <c r="I9" s="26">
        <v>4</v>
      </c>
      <c r="J9" s="27">
        <v>2.7</v>
      </c>
    </row>
    <row r="10" spans="1:10" x14ac:dyDescent="0.4">
      <c r="A10" s="1">
        <f t="shared" si="2"/>
        <v>6.6198301638685955</v>
      </c>
      <c r="B10" s="1">
        <f t="shared" si="3"/>
        <v>21.439350349041433</v>
      </c>
      <c r="C10" s="1">
        <f t="shared" si="4"/>
        <v>32.007640407263125</v>
      </c>
      <c r="D10" s="1">
        <f t="shared" si="5"/>
        <v>66.362121050188989</v>
      </c>
      <c r="E10" s="1">
        <f t="shared" si="6"/>
        <v>32.007640407263125</v>
      </c>
      <c r="F10" s="1">
        <f t="shared" si="0"/>
        <v>-0.01</v>
      </c>
      <c r="G10" s="1">
        <f t="shared" si="1"/>
        <v>6.9399065679412271</v>
      </c>
      <c r="I10" s="26">
        <v>5</v>
      </c>
      <c r="J10" s="27">
        <v>4.13</v>
      </c>
    </row>
    <row r="11" spans="1:10" x14ac:dyDescent="0.4">
      <c r="A11" s="1">
        <f t="shared" si="2"/>
        <v>6.9399065679412271</v>
      </c>
      <c r="B11" s="1">
        <f t="shared" si="3"/>
        <v>35.437732272134099</v>
      </c>
      <c r="C11" s="1">
        <f t="shared" si="4"/>
        <v>56.600540148797108</v>
      </c>
      <c r="D11" s="1">
        <f t="shared" si="5"/>
        <v>87.71660753868764</v>
      </c>
      <c r="E11" s="1">
        <f t="shared" si="6"/>
        <v>56.600540148797108</v>
      </c>
      <c r="F11" s="1">
        <f t="shared" si="0"/>
        <v>-0.01</v>
      </c>
      <c r="G11" s="1">
        <f t="shared" si="1"/>
        <v>7.5059119694291985</v>
      </c>
      <c r="I11" s="26">
        <v>6</v>
      </c>
      <c r="J11" s="27" t="s">
        <v>13</v>
      </c>
    </row>
    <row r="12" spans="1:10" x14ac:dyDescent="0.4">
      <c r="A12" s="1">
        <f t="shared" si="2"/>
        <v>7.5059119694291985</v>
      </c>
      <c r="B12" s="1">
        <f t="shared" si="3"/>
        <v>83.759448617548969</v>
      </c>
      <c r="C12" s="1">
        <f t="shared" si="4"/>
        <v>118.27593677981758</v>
      </c>
      <c r="D12" s="1">
        <f t="shared" si="5"/>
        <v>131.49702484864304</v>
      </c>
      <c r="E12" s="1">
        <f t="shared" si="6"/>
        <v>118.27593677981758</v>
      </c>
      <c r="F12" s="1">
        <f t="shared" si="0"/>
        <v>-0.01</v>
      </c>
      <c r="G12" s="1">
        <f t="shared" si="1"/>
        <v>8.6886713372273743</v>
      </c>
      <c r="I12" s="26">
        <v>7</v>
      </c>
      <c r="J12" s="27" t="s">
        <v>10</v>
      </c>
    </row>
    <row r="13" spans="1:10" x14ac:dyDescent="0.4">
      <c r="A13" s="1">
        <f t="shared" si="2"/>
        <v>8.6886713372273743</v>
      </c>
      <c r="B13" s="1">
        <f t="shared" si="3"/>
        <v>340.78861106711929</v>
      </c>
      <c r="C13" s="1">
        <f t="shared" si="4"/>
        <v>339.27748915802749</v>
      </c>
      <c r="D13" s="1">
        <f t="shared" si="5"/>
        <v>247.80366690245046</v>
      </c>
      <c r="E13" s="1">
        <f t="shared" si="6"/>
        <v>339.27748915802749</v>
      </c>
      <c r="F13" s="1">
        <f t="shared" si="0"/>
        <v>-0.01</v>
      </c>
      <c r="G13" s="1">
        <f t="shared" si="1"/>
        <v>12.08144622880765</v>
      </c>
      <c r="I13" s="26">
        <v>8</v>
      </c>
      <c r="J13" s="27" t="s">
        <v>10</v>
      </c>
    </row>
    <row r="14" spans="1:10" x14ac:dyDescent="0.4">
      <c r="A14" s="1">
        <f t="shared" si="2"/>
        <v>12.08144622880765</v>
      </c>
      <c r="B14" s="1">
        <f t="shared" si="3"/>
        <v>3783.0511760528698</v>
      </c>
      <c r="C14" s="1">
        <f t="shared" si="4"/>
        <v>1983.8865400196901</v>
      </c>
      <c r="D14" s="1">
        <f t="shared" si="5"/>
        <v>767.71727778931267</v>
      </c>
      <c r="E14" s="1">
        <f t="shared" si="6"/>
        <v>1983.8865400196901</v>
      </c>
      <c r="F14" s="1">
        <f t="shared" si="0"/>
        <v>-0.01</v>
      </c>
      <c r="G14" s="1">
        <f t="shared" si="1"/>
        <v>31.920311629004551</v>
      </c>
      <c r="I14" s="26">
        <v>9</v>
      </c>
      <c r="J14" s="27" t="s">
        <v>10</v>
      </c>
    </row>
    <row r="15" spans="1:10" ht="19.5" thickBot="1" x14ac:dyDescent="0.45">
      <c r="A15" s="1">
        <f t="shared" si="2"/>
        <v>31.920311629004551</v>
      </c>
      <c r="B15" s="1">
        <f t="shared" si="3"/>
        <v>601532.02860741329</v>
      </c>
      <c r="C15" s="1">
        <f t="shared" si="4"/>
        <v>86615.698474905308</v>
      </c>
      <c r="D15" s="1">
        <f t="shared" si="5"/>
        <v>9338.5256175287213</v>
      </c>
      <c r="E15" s="1">
        <f t="shared" si="6"/>
        <v>86615.698474905308</v>
      </c>
      <c r="F15" s="1">
        <f t="shared" si="0"/>
        <v>-0.01</v>
      </c>
      <c r="G15" s="1">
        <f t="shared" si="1"/>
        <v>898.07729637805767</v>
      </c>
      <c r="I15" s="28">
        <v>10</v>
      </c>
      <c r="J15" s="29" t="s">
        <v>10</v>
      </c>
    </row>
    <row r="16" spans="1:10" x14ac:dyDescent="0.4">
      <c r="A16" s="1">
        <f t="shared" si="2"/>
        <v>898.07729637805767</v>
      </c>
      <c r="B16" s="1">
        <f t="shared" si="3"/>
        <v>638992737467.12268</v>
      </c>
      <c r="C16" s="1">
        <f t="shared" si="4"/>
        <v>2858795033.438169</v>
      </c>
      <c r="D16" s="1">
        <f t="shared" si="5"/>
        <v>9592474.5427843668</v>
      </c>
      <c r="E16" s="1">
        <f t="shared" si="6"/>
        <v>2858795033.438169</v>
      </c>
      <c r="F16" s="1">
        <f t="shared" si="0"/>
        <v>-0.01</v>
      </c>
      <c r="G16" s="1">
        <f t="shared" si="1"/>
        <v>28588848.411678068</v>
      </c>
    </row>
    <row r="17" spans="1:7" x14ac:dyDescent="0.4">
      <c r="A17" s="1">
        <f t="shared" si="2"/>
        <v>28588848.411678068</v>
      </c>
      <c r="B17" s="1">
        <f t="shared" si="3"/>
        <v>6.6801529221521483E+29</v>
      </c>
      <c r="C17" s="1">
        <f t="shared" si="4"/>
        <v>9.3465168804422896E+22</v>
      </c>
      <c r="D17" s="1">
        <f t="shared" si="5"/>
        <v>9807864297541620</v>
      </c>
      <c r="E17" s="1">
        <f t="shared" si="6"/>
        <v>9.3465168804422896E+22</v>
      </c>
      <c r="F17" s="1">
        <f t="shared" si="0"/>
        <v>-0.01</v>
      </c>
      <c r="G17" s="1">
        <f t="shared" si="1"/>
        <v>9.3465168804425761E+20</v>
      </c>
    </row>
    <row r="18" spans="1:7" x14ac:dyDescent="0.4">
      <c r="A18" s="1">
        <f t="shared" si="2"/>
        <v>9.3465168804425761E+20</v>
      </c>
      <c r="B18" s="1">
        <f t="shared" si="3"/>
        <v>7.6313114554626146E+83</v>
      </c>
      <c r="C18" s="1">
        <f t="shared" si="4"/>
        <v>3.2659488248209344E+63</v>
      </c>
      <c r="D18" s="1">
        <f t="shared" si="5"/>
        <v>1.0482885335567763E+43</v>
      </c>
      <c r="E18" s="1">
        <f t="shared" si="6"/>
        <v>3.2659488248209344E+63</v>
      </c>
      <c r="F18" s="1">
        <f t="shared" si="0"/>
        <v>-0.01</v>
      </c>
      <c r="G18" s="1">
        <f t="shared" si="1"/>
        <v>3.2659488248209347E+61</v>
      </c>
    </row>
    <row r="19" spans="1:7" x14ac:dyDescent="0.4">
      <c r="A19" s="1">
        <f t="shared" si="2"/>
        <v>3.2659488248209347E+61</v>
      </c>
      <c r="B19" s="1">
        <f t="shared" si="3"/>
        <v>1.137725524443352E+246</v>
      </c>
      <c r="C19" s="1">
        <f t="shared" si="4"/>
        <v>1.393439500088592E+185</v>
      </c>
      <c r="D19" s="1">
        <f t="shared" si="5"/>
        <v>1.2799706071619093E+124</v>
      </c>
      <c r="E19" s="1">
        <f t="shared" si="6"/>
        <v>1.393439500088592E+185</v>
      </c>
      <c r="F19" s="1">
        <f t="shared" si="0"/>
        <v>-0.01</v>
      </c>
      <c r="G19" s="1">
        <f t="shared" si="1"/>
        <v>1.3934395000885919E+183</v>
      </c>
    </row>
    <row r="20" spans="1:7" x14ac:dyDescent="0.4">
      <c r="A20" s="1">
        <f t="shared" si="2"/>
        <v>1.3934395000885919E+183</v>
      </c>
      <c r="B20" s="1" t="e">
        <f t="shared" si="3"/>
        <v>#NUM!</v>
      </c>
      <c r="C20" s="1" t="e">
        <f t="shared" si="4"/>
        <v>#NUM!</v>
      </c>
      <c r="D20" s="1" t="e">
        <f t="shared" si="5"/>
        <v>#NUM!</v>
      </c>
      <c r="E20" s="1" t="e">
        <f t="shared" si="6"/>
        <v>#NUM!</v>
      </c>
      <c r="F20" s="1" t="e">
        <f t="shared" si="0"/>
        <v>#NUM!</v>
      </c>
      <c r="G20" s="1" t="e">
        <f t="shared" si="1"/>
        <v>#NUM!</v>
      </c>
    </row>
    <row r="21" spans="1:7" x14ac:dyDescent="0.4">
      <c r="A21" s="1" t="e">
        <f t="shared" si="2"/>
        <v>#NUM!</v>
      </c>
      <c r="B21" s="1" t="e">
        <f t="shared" si="3"/>
        <v>#NUM!</v>
      </c>
      <c r="C21" s="1" t="e">
        <f t="shared" si="4"/>
        <v>#NUM!</v>
      </c>
      <c r="D21" s="1" t="e">
        <f t="shared" si="5"/>
        <v>#NUM!</v>
      </c>
      <c r="E21" s="1" t="e">
        <f t="shared" si="6"/>
        <v>#NUM!</v>
      </c>
      <c r="F21" s="1" t="e">
        <f t="shared" si="0"/>
        <v>#NUM!</v>
      </c>
      <c r="G21" s="1" t="e">
        <f t="shared" si="1"/>
        <v>#NUM!</v>
      </c>
    </row>
    <row r="22" spans="1:7" x14ac:dyDescent="0.4">
      <c r="A22" s="1" t="e">
        <f t="shared" si="2"/>
        <v>#NUM!</v>
      </c>
      <c r="B22" s="1" t="e">
        <f t="shared" si="3"/>
        <v>#NUM!</v>
      </c>
      <c r="C22" s="1" t="e">
        <f t="shared" si="4"/>
        <v>#NUM!</v>
      </c>
      <c r="D22" s="1" t="e">
        <f t="shared" si="5"/>
        <v>#NUM!</v>
      </c>
      <c r="E22" s="1" t="e">
        <f t="shared" si="6"/>
        <v>#NUM!</v>
      </c>
      <c r="F22" s="1" t="e">
        <f t="shared" si="0"/>
        <v>#NUM!</v>
      </c>
      <c r="G22" s="1" t="e">
        <f t="shared" si="1"/>
        <v>#NUM!</v>
      </c>
    </row>
    <row r="23" spans="1:7" x14ac:dyDescent="0.4">
      <c r="A23" s="1" t="e">
        <f t="shared" si="2"/>
        <v>#NUM!</v>
      </c>
      <c r="B23" s="1" t="e">
        <f t="shared" si="3"/>
        <v>#NUM!</v>
      </c>
      <c r="C23" s="1" t="e">
        <f t="shared" si="4"/>
        <v>#NUM!</v>
      </c>
      <c r="D23" s="1" t="e">
        <f t="shared" si="5"/>
        <v>#NUM!</v>
      </c>
      <c r="E23" s="1" t="e">
        <f t="shared" si="6"/>
        <v>#NUM!</v>
      </c>
      <c r="F23" s="1" t="e">
        <f t="shared" si="0"/>
        <v>#NUM!</v>
      </c>
      <c r="G23" s="1" t="e">
        <f t="shared" si="1"/>
        <v>#NUM!</v>
      </c>
    </row>
    <row r="24" spans="1:7" x14ac:dyDescent="0.4">
      <c r="A24" s="1" t="e">
        <f t="shared" si="2"/>
        <v>#NUM!</v>
      </c>
      <c r="B24" s="1" t="e">
        <f t="shared" si="3"/>
        <v>#NUM!</v>
      </c>
      <c r="C24" s="1" t="e">
        <f t="shared" si="4"/>
        <v>#NUM!</v>
      </c>
      <c r="D24" s="1" t="e">
        <f t="shared" si="5"/>
        <v>#NUM!</v>
      </c>
      <c r="E24" s="1" t="e">
        <f t="shared" si="6"/>
        <v>#NUM!</v>
      </c>
      <c r="F24" s="1" t="e">
        <f t="shared" si="0"/>
        <v>#NUM!</v>
      </c>
      <c r="G24" s="1" t="e">
        <f t="shared" si="1"/>
        <v>#NUM!</v>
      </c>
    </row>
    <row r="25" spans="1:7" x14ac:dyDescent="0.4">
      <c r="A25" s="1" t="e">
        <f t="shared" si="2"/>
        <v>#NUM!</v>
      </c>
      <c r="B25" s="1" t="e">
        <f t="shared" si="3"/>
        <v>#NUM!</v>
      </c>
      <c r="C25" s="1" t="e">
        <f t="shared" si="4"/>
        <v>#NUM!</v>
      </c>
      <c r="D25" s="1" t="e">
        <f t="shared" si="5"/>
        <v>#NUM!</v>
      </c>
      <c r="E25" s="1" t="e">
        <f t="shared" si="6"/>
        <v>#NUM!</v>
      </c>
      <c r="F25" s="1" t="e">
        <f t="shared" si="0"/>
        <v>#NUM!</v>
      </c>
      <c r="G25" s="1" t="e">
        <f t="shared" si="1"/>
        <v>#NUM!</v>
      </c>
    </row>
    <row r="26" spans="1:7" x14ac:dyDescent="0.4">
      <c r="A26" s="1" t="e">
        <f t="shared" si="2"/>
        <v>#NUM!</v>
      </c>
      <c r="B26" s="1" t="e">
        <f t="shared" si="3"/>
        <v>#NUM!</v>
      </c>
      <c r="C26" s="1" t="e">
        <f t="shared" si="4"/>
        <v>#NUM!</v>
      </c>
      <c r="D26" s="1" t="e">
        <f t="shared" si="5"/>
        <v>#NUM!</v>
      </c>
      <c r="E26" s="1" t="e">
        <f t="shared" si="6"/>
        <v>#NUM!</v>
      </c>
      <c r="F26" s="1" t="e">
        <f t="shared" si="0"/>
        <v>#NUM!</v>
      </c>
      <c r="G26" s="1" t="e">
        <f t="shared" si="1"/>
        <v>#NUM!</v>
      </c>
    </row>
    <row r="27" spans="1:7" x14ac:dyDescent="0.4">
      <c r="A27" s="1" t="e">
        <f t="shared" si="2"/>
        <v>#NUM!</v>
      </c>
      <c r="B27" s="1" t="e">
        <f t="shared" si="3"/>
        <v>#NUM!</v>
      </c>
      <c r="C27" s="1" t="e">
        <f t="shared" si="4"/>
        <v>#NUM!</v>
      </c>
      <c r="D27" s="1" t="e">
        <f t="shared" si="5"/>
        <v>#NUM!</v>
      </c>
      <c r="E27" s="1" t="e">
        <f t="shared" si="6"/>
        <v>#NUM!</v>
      </c>
      <c r="F27" s="1" t="e">
        <f t="shared" si="0"/>
        <v>#NUM!</v>
      </c>
      <c r="G27" s="1" t="e">
        <f t="shared" si="1"/>
        <v>#NUM!</v>
      </c>
    </row>
    <row r="28" spans="1:7" x14ac:dyDescent="0.4">
      <c r="A28" s="1" t="e">
        <f t="shared" si="2"/>
        <v>#NUM!</v>
      </c>
      <c r="B28" s="1" t="e">
        <f t="shared" si="3"/>
        <v>#NUM!</v>
      </c>
      <c r="C28" s="1" t="e">
        <f t="shared" si="4"/>
        <v>#NUM!</v>
      </c>
      <c r="D28" s="1" t="e">
        <f t="shared" si="5"/>
        <v>#NUM!</v>
      </c>
      <c r="E28" s="1" t="e">
        <f t="shared" si="6"/>
        <v>#NUM!</v>
      </c>
      <c r="F28" s="1" t="e">
        <f t="shared" si="0"/>
        <v>#NUM!</v>
      </c>
      <c r="G28" s="1" t="e">
        <f t="shared" si="1"/>
        <v>#NUM!</v>
      </c>
    </row>
    <row r="29" spans="1:7" x14ac:dyDescent="0.4">
      <c r="A29" s="1" t="e">
        <f t="shared" si="2"/>
        <v>#NUM!</v>
      </c>
      <c r="B29" s="1" t="e">
        <f t="shared" si="3"/>
        <v>#NUM!</v>
      </c>
      <c r="C29" s="1" t="e">
        <f t="shared" si="4"/>
        <v>#NUM!</v>
      </c>
      <c r="D29" s="1" t="e">
        <f t="shared" si="5"/>
        <v>#NUM!</v>
      </c>
      <c r="E29" s="1" t="e">
        <f t="shared" si="6"/>
        <v>#NUM!</v>
      </c>
      <c r="F29" s="1" t="e">
        <f t="shared" si="0"/>
        <v>#NUM!</v>
      </c>
      <c r="G29" s="1" t="e">
        <f t="shared" si="1"/>
        <v>#NUM!</v>
      </c>
    </row>
    <row r="30" spans="1:7" x14ac:dyDescent="0.4">
      <c r="A30" s="1" t="e">
        <f t="shared" si="2"/>
        <v>#NUM!</v>
      </c>
      <c r="B30" s="1" t="e">
        <f t="shared" si="3"/>
        <v>#NUM!</v>
      </c>
      <c r="C30" s="1" t="e">
        <f t="shared" si="4"/>
        <v>#NUM!</v>
      </c>
      <c r="D30" s="1" t="e">
        <f t="shared" si="5"/>
        <v>#NUM!</v>
      </c>
      <c r="E30" s="1" t="e">
        <f t="shared" si="6"/>
        <v>#NUM!</v>
      </c>
      <c r="F30" s="1" t="e">
        <f t="shared" si="0"/>
        <v>#NUM!</v>
      </c>
      <c r="G30" s="1" t="e">
        <f t="shared" si="1"/>
        <v>#NUM!</v>
      </c>
    </row>
    <row r="31" spans="1:7" x14ac:dyDescent="0.4">
      <c r="A31" s="1" t="e">
        <f t="shared" si="2"/>
        <v>#NUM!</v>
      </c>
      <c r="B31" s="1" t="e">
        <f t="shared" si="3"/>
        <v>#NUM!</v>
      </c>
      <c r="C31" s="1" t="e">
        <f t="shared" si="4"/>
        <v>#NUM!</v>
      </c>
      <c r="D31" s="1" t="e">
        <f t="shared" si="5"/>
        <v>#NUM!</v>
      </c>
      <c r="E31" s="1" t="e">
        <f t="shared" si="6"/>
        <v>#NUM!</v>
      </c>
      <c r="F31" s="1" t="e">
        <f t="shared" si="0"/>
        <v>#NUM!</v>
      </c>
      <c r="G31" s="1" t="e">
        <f t="shared" si="1"/>
        <v>#NUM!</v>
      </c>
    </row>
    <row r="32" spans="1:7" x14ac:dyDescent="0.4">
      <c r="A32" s="1" t="e">
        <f t="shared" si="2"/>
        <v>#NUM!</v>
      </c>
      <c r="B32" s="1" t="e">
        <f t="shared" si="3"/>
        <v>#NUM!</v>
      </c>
      <c r="C32" s="1" t="e">
        <f t="shared" si="4"/>
        <v>#NUM!</v>
      </c>
      <c r="D32" s="1" t="e">
        <f t="shared" si="5"/>
        <v>#NUM!</v>
      </c>
      <c r="E32" s="1" t="e">
        <f t="shared" si="6"/>
        <v>#NUM!</v>
      </c>
      <c r="F32" s="1" t="e">
        <f t="shared" si="0"/>
        <v>#NUM!</v>
      </c>
      <c r="G32" s="1" t="e">
        <f t="shared" si="1"/>
        <v>#NUM!</v>
      </c>
    </row>
    <row r="33" spans="1:7" x14ac:dyDescent="0.4">
      <c r="A33" s="1" t="e">
        <f t="shared" si="2"/>
        <v>#NUM!</v>
      </c>
      <c r="B33" s="1" t="e">
        <f t="shared" si="3"/>
        <v>#NUM!</v>
      </c>
      <c r="C33" s="1" t="e">
        <f t="shared" si="4"/>
        <v>#NUM!</v>
      </c>
      <c r="D33" s="1" t="e">
        <f t="shared" si="5"/>
        <v>#NUM!</v>
      </c>
      <c r="E33" s="1" t="e">
        <f t="shared" si="6"/>
        <v>#NUM!</v>
      </c>
      <c r="F33" s="1" t="e">
        <f t="shared" si="0"/>
        <v>#NUM!</v>
      </c>
      <c r="G33" s="1" t="e">
        <f t="shared" si="1"/>
        <v>#NUM!</v>
      </c>
    </row>
    <row r="34" spans="1:7" x14ac:dyDescent="0.4">
      <c r="A34" s="1" t="e">
        <f t="shared" si="2"/>
        <v>#NUM!</v>
      </c>
      <c r="B34" s="1" t="e">
        <f t="shared" si="3"/>
        <v>#NUM!</v>
      </c>
      <c r="C34" s="1" t="e">
        <f t="shared" si="4"/>
        <v>#NUM!</v>
      </c>
      <c r="D34" s="1" t="e">
        <f t="shared" si="5"/>
        <v>#NUM!</v>
      </c>
      <c r="E34" s="1" t="e">
        <f t="shared" si="6"/>
        <v>#NUM!</v>
      </c>
      <c r="F34" s="1" t="e">
        <f t="shared" si="0"/>
        <v>#NUM!</v>
      </c>
      <c r="G34" s="1" t="e">
        <f t="shared" si="1"/>
        <v>#NUM!</v>
      </c>
    </row>
    <row r="35" spans="1:7" x14ac:dyDescent="0.4">
      <c r="A35" s="1" t="e">
        <f t="shared" si="2"/>
        <v>#NUM!</v>
      </c>
      <c r="B35" s="1" t="e">
        <f t="shared" si="3"/>
        <v>#NUM!</v>
      </c>
      <c r="C35" s="1" t="e">
        <f t="shared" si="4"/>
        <v>#NUM!</v>
      </c>
      <c r="D35" s="1" t="e">
        <f t="shared" si="5"/>
        <v>#NUM!</v>
      </c>
      <c r="E35" s="1" t="e">
        <f t="shared" si="6"/>
        <v>#NUM!</v>
      </c>
      <c r="F35" s="1" t="e">
        <f t="shared" si="0"/>
        <v>#NUM!</v>
      </c>
      <c r="G35" s="1" t="e">
        <f t="shared" si="1"/>
        <v>#NUM!</v>
      </c>
    </row>
    <row r="36" spans="1:7" x14ac:dyDescent="0.4">
      <c r="A36" s="1" t="e">
        <f t="shared" si="2"/>
        <v>#NUM!</v>
      </c>
      <c r="B36" s="1" t="e">
        <f t="shared" si="3"/>
        <v>#NUM!</v>
      </c>
      <c r="C36" s="1" t="e">
        <f t="shared" si="4"/>
        <v>#NUM!</v>
      </c>
      <c r="D36" s="1" t="e">
        <f t="shared" si="5"/>
        <v>#NUM!</v>
      </c>
      <c r="E36" s="1" t="e">
        <f t="shared" si="6"/>
        <v>#NUM!</v>
      </c>
      <c r="F36" s="1" t="e">
        <f t="shared" si="0"/>
        <v>#NUM!</v>
      </c>
      <c r="G36" s="1" t="e">
        <f t="shared" si="1"/>
        <v>#NUM!</v>
      </c>
    </row>
    <row r="37" spans="1:7" x14ac:dyDescent="0.4">
      <c r="A37" s="1" t="e">
        <f t="shared" si="2"/>
        <v>#NUM!</v>
      </c>
      <c r="B37" s="1" t="e">
        <f t="shared" si="3"/>
        <v>#NUM!</v>
      </c>
      <c r="C37" s="1" t="e">
        <f t="shared" si="4"/>
        <v>#NUM!</v>
      </c>
      <c r="D37" s="1" t="e">
        <f t="shared" si="5"/>
        <v>#NUM!</v>
      </c>
      <c r="E37" s="1" t="e">
        <f t="shared" si="6"/>
        <v>#NUM!</v>
      </c>
      <c r="F37" s="1" t="e">
        <f t="shared" si="0"/>
        <v>#NUM!</v>
      </c>
      <c r="G37" s="1" t="e">
        <f t="shared" si="1"/>
        <v>#NUM!</v>
      </c>
    </row>
    <row r="38" spans="1:7" x14ac:dyDescent="0.4">
      <c r="A38" s="1" t="e">
        <f t="shared" si="2"/>
        <v>#NUM!</v>
      </c>
      <c r="B38" s="1" t="e">
        <f t="shared" si="3"/>
        <v>#NUM!</v>
      </c>
      <c r="C38" s="1" t="e">
        <f t="shared" si="4"/>
        <v>#NUM!</v>
      </c>
      <c r="D38" s="1" t="e">
        <f t="shared" si="5"/>
        <v>#NUM!</v>
      </c>
      <c r="E38" s="1" t="e">
        <f t="shared" si="6"/>
        <v>#NUM!</v>
      </c>
      <c r="F38" s="1" t="e">
        <f t="shared" si="0"/>
        <v>#NUM!</v>
      </c>
      <c r="G38" s="1" t="e">
        <f t="shared" si="1"/>
        <v>#NUM!</v>
      </c>
    </row>
    <row r="39" spans="1:7" x14ac:dyDescent="0.4">
      <c r="A39" s="1" t="e">
        <f t="shared" si="2"/>
        <v>#NUM!</v>
      </c>
      <c r="B39" s="1" t="e">
        <f t="shared" si="3"/>
        <v>#NUM!</v>
      </c>
      <c r="C39" s="1" t="e">
        <f t="shared" si="4"/>
        <v>#NUM!</v>
      </c>
      <c r="D39" s="1" t="e">
        <f t="shared" si="5"/>
        <v>#NUM!</v>
      </c>
      <c r="E39" s="1" t="e">
        <f t="shared" si="6"/>
        <v>#NUM!</v>
      </c>
      <c r="F39" s="1" t="e">
        <f t="shared" si="0"/>
        <v>#NUM!</v>
      </c>
      <c r="G39" s="1" t="e">
        <f t="shared" si="1"/>
        <v>#NUM!</v>
      </c>
    </row>
    <row r="40" spans="1:7" x14ac:dyDescent="0.4">
      <c r="A40" s="1" t="e">
        <f t="shared" si="2"/>
        <v>#NUM!</v>
      </c>
      <c r="B40" s="1" t="e">
        <f t="shared" si="3"/>
        <v>#NUM!</v>
      </c>
      <c r="C40" s="1" t="e">
        <f t="shared" si="4"/>
        <v>#NUM!</v>
      </c>
      <c r="D40" s="1" t="e">
        <f t="shared" si="5"/>
        <v>#NUM!</v>
      </c>
      <c r="E40" s="1" t="e">
        <f t="shared" si="6"/>
        <v>#NUM!</v>
      </c>
      <c r="F40" s="1" t="e">
        <f t="shared" si="0"/>
        <v>#NUM!</v>
      </c>
      <c r="G40" s="1" t="e">
        <f t="shared" si="1"/>
        <v>#NUM!</v>
      </c>
    </row>
    <row r="41" spans="1:7" x14ac:dyDescent="0.4">
      <c r="A41" s="1" t="e">
        <f t="shared" si="2"/>
        <v>#NUM!</v>
      </c>
      <c r="B41" s="1" t="e">
        <f t="shared" si="3"/>
        <v>#NUM!</v>
      </c>
      <c r="C41" s="1" t="e">
        <f t="shared" si="4"/>
        <v>#NUM!</v>
      </c>
      <c r="D41" s="1" t="e">
        <f t="shared" si="5"/>
        <v>#NUM!</v>
      </c>
      <c r="E41" s="1" t="e">
        <f t="shared" si="6"/>
        <v>#NUM!</v>
      </c>
      <c r="F41" s="1" t="e">
        <f t="shared" si="0"/>
        <v>#NUM!</v>
      </c>
      <c r="G41" s="1" t="e">
        <f t="shared" si="1"/>
        <v>#NUM!</v>
      </c>
    </row>
    <row r="42" spans="1:7" x14ac:dyDescent="0.4">
      <c r="A42" s="1" t="e">
        <f t="shared" si="2"/>
        <v>#NUM!</v>
      </c>
      <c r="B42" s="1" t="e">
        <f t="shared" si="3"/>
        <v>#NUM!</v>
      </c>
      <c r="C42" s="1" t="e">
        <f t="shared" si="4"/>
        <v>#NUM!</v>
      </c>
      <c r="D42" s="1" t="e">
        <f t="shared" si="5"/>
        <v>#NUM!</v>
      </c>
      <c r="E42" s="1" t="e">
        <f t="shared" si="6"/>
        <v>#NUM!</v>
      </c>
      <c r="F42" s="1" t="e">
        <f t="shared" si="0"/>
        <v>#NUM!</v>
      </c>
      <c r="G42" s="1" t="e">
        <f t="shared" si="1"/>
        <v>#NUM!</v>
      </c>
    </row>
    <row r="43" spans="1:7" x14ac:dyDescent="0.4">
      <c r="A43" s="1" t="e">
        <f t="shared" si="2"/>
        <v>#NUM!</v>
      </c>
      <c r="B43" s="1" t="e">
        <f t="shared" si="3"/>
        <v>#NUM!</v>
      </c>
      <c r="C43" s="1" t="e">
        <f t="shared" si="4"/>
        <v>#NUM!</v>
      </c>
      <c r="D43" s="1" t="e">
        <f t="shared" si="5"/>
        <v>#NUM!</v>
      </c>
      <c r="E43" s="1" t="e">
        <f t="shared" si="6"/>
        <v>#NUM!</v>
      </c>
      <c r="F43" s="1" t="e">
        <f t="shared" si="0"/>
        <v>#NUM!</v>
      </c>
      <c r="G43" s="1" t="e">
        <f t="shared" si="1"/>
        <v>#NUM!</v>
      </c>
    </row>
    <row r="44" spans="1:7" x14ac:dyDescent="0.4">
      <c r="A44" s="1" t="e">
        <f t="shared" si="2"/>
        <v>#NUM!</v>
      </c>
      <c r="B44" s="1" t="e">
        <f t="shared" si="3"/>
        <v>#NUM!</v>
      </c>
      <c r="C44" s="1" t="e">
        <f t="shared" si="4"/>
        <v>#NUM!</v>
      </c>
      <c r="D44" s="1" t="e">
        <f t="shared" si="5"/>
        <v>#NUM!</v>
      </c>
      <c r="E44" s="1" t="e">
        <f t="shared" si="6"/>
        <v>#NUM!</v>
      </c>
      <c r="F44" s="1" t="e">
        <f t="shared" si="0"/>
        <v>#NUM!</v>
      </c>
      <c r="G44" s="1" t="e">
        <f t="shared" si="1"/>
        <v>#NUM!</v>
      </c>
    </row>
    <row r="45" spans="1:7" x14ac:dyDescent="0.4">
      <c r="A45" s="1" t="e">
        <f t="shared" si="2"/>
        <v>#NUM!</v>
      </c>
      <c r="B45" s="1" t="e">
        <f t="shared" si="3"/>
        <v>#NUM!</v>
      </c>
      <c r="C45" s="1" t="e">
        <f t="shared" si="4"/>
        <v>#NUM!</v>
      </c>
      <c r="D45" s="1" t="e">
        <f t="shared" si="5"/>
        <v>#NUM!</v>
      </c>
      <c r="E45" s="1" t="e">
        <f t="shared" si="6"/>
        <v>#NUM!</v>
      </c>
      <c r="F45" s="1" t="e">
        <f t="shared" si="0"/>
        <v>#NUM!</v>
      </c>
      <c r="G45" s="1" t="e">
        <f t="shared" si="1"/>
        <v>#NUM!</v>
      </c>
    </row>
    <row r="46" spans="1:7" x14ac:dyDescent="0.4">
      <c r="A46" s="1" t="e">
        <f t="shared" si="2"/>
        <v>#NUM!</v>
      </c>
      <c r="B46" s="1" t="e">
        <f t="shared" si="3"/>
        <v>#NUM!</v>
      </c>
      <c r="C46" s="1" t="e">
        <f t="shared" si="4"/>
        <v>#NUM!</v>
      </c>
      <c r="D46" s="1" t="e">
        <f t="shared" si="5"/>
        <v>#NUM!</v>
      </c>
      <c r="E46" s="1" t="e">
        <f t="shared" si="6"/>
        <v>#NUM!</v>
      </c>
      <c r="F46" s="1" t="e">
        <f t="shared" si="0"/>
        <v>#NUM!</v>
      </c>
      <c r="G46" s="1" t="e">
        <f t="shared" si="1"/>
        <v>#NUM!</v>
      </c>
    </row>
    <row r="47" spans="1:7" x14ac:dyDescent="0.4">
      <c r="A47" s="1" t="e">
        <f t="shared" si="2"/>
        <v>#NUM!</v>
      </c>
      <c r="B47" s="1" t="e">
        <f t="shared" si="3"/>
        <v>#NUM!</v>
      </c>
      <c r="C47" s="1" t="e">
        <f t="shared" si="4"/>
        <v>#NUM!</v>
      </c>
      <c r="D47" s="1" t="e">
        <f t="shared" si="5"/>
        <v>#NUM!</v>
      </c>
      <c r="E47" s="1" t="e">
        <f t="shared" si="6"/>
        <v>#NUM!</v>
      </c>
      <c r="F47" s="1" t="e">
        <f t="shared" si="0"/>
        <v>#NUM!</v>
      </c>
      <c r="G47" s="1" t="e">
        <f t="shared" si="1"/>
        <v>#NUM!</v>
      </c>
    </row>
    <row r="48" spans="1:7" x14ac:dyDescent="0.4">
      <c r="A48" s="1" t="e">
        <f t="shared" si="2"/>
        <v>#NUM!</v>
      </c>
      <c r="B48" s="1" t="e">
        <f t="shared" si="3"/>
        <v>#NUM!</v>
      </c>
      <c r="C48" s="1" t="e">
        <f t="shared" si="4"/>
        <v>#NUM!</v>
      </c>
      <c r="D48" s="1" t="e">
        <f t="shared" si="5"/>
        <v>#NUM!</v>
      </c>
      <c r="E48" s="1" t="e">
        <f t="shared" si="6"/>
        <v>#NUM!</v>
      </c>
      <c r="F48" s="1" t="e">
        <f t="shared" si="0"/>
        <v>#NUM!</v>
      </c>
      <c r="G48" s="1" t="e">
        <f t="shared" si="1"/>
        <v>#NUM!</v>
      </c>
    </row>
    <row r="49" spans="1:7" x14ac:dyDescent="0.4">
      <c r="A49" s="1" t="e">
        <f t="shared" si="2"/>
        <v>#NUM!</v>
      </c>
      <c r="B49" s="1" t="e">
        <f t="shared" si="3"/>
        <v>#NUM!</v>
      </c>
      <c r="C49" s="1" t="e">
        <f t="shared" si="4"/>
        <v>#NUM!</v>
      </c>
      <c r="D49" s="1" t="e">
        <f t="shared" si="5"/>
        <v>#NUM!</v>
      </c>
      <c r="E49" s="1" t="e">
        <f t="shared" si="6"/>
        <v>#NUM!</v>
      </c>
      <c r="F49" s="1" t="e">
        <f t="shared" si="0"/>
        <v>#NUM!</v>
      </c>
      <c r="G49" s="1" t="e">
        <f t="shared" si="1"/>
        <v>#NUM!</v>
      </c>
    </row>
    <row r="50" spans="1:7" x14ac:dyDescent="0.4">
      <c r="A50" s="1" t="e">
        <f t="shared" si="2"/>
        <v>#NUM!</v>
      </c>
      <c r="B50" s="1" t="e">
        <f t="shared" si="3"/>
        <v>#NUM!</v>
      </c>
      <c r="C50" s="1" t="e">
        <f t="shared" si="4"/>
        <v>#NUM!</v>
      </c>
      <c r="D50" s="1" t="e">
        <f t="shared" si="5"/>
        <v>#NUM!</v>
      </c>
      <c r="E50" s="1" t="e">
        <f t="shared" si="6"/>
        <v>#NUM!</v>
      </c>
      <c r="F50" s="1" t="e">
        <f t="shared" si="0"/>
        <v>#NUM!</v>
      </c>
      <c r="G50" s="1" t="e">
        <f t="shared" si="1"/>
        <v>#NUM!</v>
      </c>
    </row>
    <row r="51" spans="1:7" x14ac:dyDescent="0.4">
      <c r="A51" s="1" t="e">
        <f t="shared" si="2"/>
        <v>#NUM!</v>
      </c>
      <c r="B51" s="1" t="e">
        <f t="shared" si="3"/>
        <v>#NUM!</v>
      </c>
      <c r="C51" s="1" t="e">
        <f t="shared" si="4"/>
        <v>#NUM!</v>
      </c>
      <c r="D51" s="1" t="e">
        <f t="shared" si="5"/>
        <v>#NUM!</v>
      </c>
      <c r="E51" s="1" t="e">
        <f t="shared" si="6"/>
        <v>#NUM!</v>
      </c>
      <c r="F51" s="1" t="e">
        <f t="shared" si="0"/>
        <v>#NUM!</v>
      </c>
      <c r="G51" s="1" t="e">
        <f t="shared" si="1"/>
        <v>#NUM!</v>
      </c>
    </row>
    <row r="52" spans="1:7" x14ac:dyDescent="0.4">
      <c r="A52" s="1" t="e">
        <f t="shared" si="2"/>
        <v>#NUM!</v>
      </c>
      <c r="B52" s="1" t="e">
        <f t="shared" si="3"/>
        <v>#NUM!</v>
      </c>
      <c r="C52" s="1" t="e">
        <f t="shared" si="4"/>
        <v>#NUM!</v>
      </c>
      <c r="D52" s="1" t="e">
        <f t="shared" si="5"/>
        <v>#NUM!</v>
      </c>
      <c r="E52" s="1" t="e">
        <f t="shared" si="6"/>
        <v>#NUM!</v>
      </c>
      <c r="F52" s="1" t="e">
        <f t="shared" si="0"/>
        <v>#NUM!</v>
      </c>
      <c r="G52" s="1" t="e">
        <f t="shared" si="1"/>
        <v>#NUM!</v>
      </c>
    </row>
    <row r="53" spans="1:7" x14ac:dyDescent="0.4">
      <c r="A53" s="1" t="e">
        <f t="shared" si="2"/>
        <v>#NUM!</v>
      </c>
      <c r="B53" s="1" t="e">
        <f t="shared" si="3"/>
        <v>#NUM!</v>
      </c>
      <c r="C53" s="1" t="e">
        <f t="shared" si="4"/>
        <v>#NUM!</v>
      </c>
      <c r="D53" s="1" t="e">
        <f t="shared" si="5"/>
        <v>#NUM!</v>
      </c>
      <c r="E53" s="1" t="e">
        <f t="shared" si="6"/>
        <v>#NUM!</v>
      </c>
      <c r="F53" s="1" t="e">
        <f t="shared" si="0"/>
        <v>#NUM!</v>
      </c>
      <c r="G53" s="1" t="e">
        <f t="shared" si="1"/>
        <v>#NUM!</v>
      </c>
    </row>
    <row r="54" spans="1:7" x14ac:dyDescent="0.4">
      <c r="A54" s="1" t="e">
        <f t="shared" si="2"/>
        <v>#NUM!</v>
      </c>
      <c r="B54" s="1" t="e">
        <f t="shared" si="3"/>
        <v>#NUM!</v>
      </c>
      <c r="C54" s="1" t="e">
        <f t="shared" si="4"/>
        <v>#NUM!</v>
      </c>
      <c r="D54" s="1" t="e">
        <f t="shared" si="5"/>
        <v>#NUM!</v>
      </c>
      <c r="E54" s="1" t="e">
        <f t="shared" si="6"/>
        <v>#NUM!</v>
      </c>
      <c r="F54" s="1" t="e">
        <f t="shared" si="0"/>
        <v>#NUM!</v>
      </c>
      <c r="G54" s="1" t="e">
        <f t="shared" si="1"/>
        <v>#NUM!</v>
      </c>
    </row>
    <row r="55" spans="1:7" x14ac:dyDescent="0.4">
      <c r="A55" s="1" t="e">
        <f t="shared" si="2"/>
        <v>#NUM!</v>
      </c>
      <c r="B55" s="1" t="e">
        <f t="shared" si="3"/>
        <v>#NUM!</v>
      </c>
      <c r="C55" s="1" t="e">
        <f t="shared" si="4"/>
        <v>#NUM!</v>
      </c>
      <c r="D55" s="1" t="e">
        <f t="shared" si="5"/>
        <v>#NUM!</v>
      </c>
      <c r="E55" s="1" t="e">
        <f t="shared" si="6"/>
        <v>#NUM!</v>
      </c>
      <c r="F55" s="1" t="e">
        <f t="shared" si="0"/>
        <v>#NUM!</v>
      </c>
      <c r="G55" s="1" t="e">
        <f t="shared" si="1"/>
        <v>#NUM!</v>
      </c>
    </row>
    <row r="56" spans="1:7" x14ac:dyDescent="0.4">
      <c r="A56" s="1" t="e">
        <f t="shared" si="2"/>
        <v>#NUM!</v>
      </c>
      <c r="B56" s="1" t="e">
        <f t="shared" si="3"/>
        <v>#NUM!</v>
      </c>
      <c r="C56" s="1" t="e">
        <f t="shared" si="4"/>
        <v>#NUM!</v>
      </c>
      <c r="D56" s="1" t="e">
        <f t="shared" si="5"/>
        <v>#NUM!</v>
      </c>
      <c r="E56" s="1" t="e">
        <f t="shared" si="6"/>
        <v>#NUM!</v>
      </c>
      <c r="F56" s="1" t="e">
        <f t="shared" si="0"/>
        <v>#NUM!</v>
      </c>
      <c r="G56" s="1" t="e">
        <f t="shared" si="1"/>
        <v>#NUM!</v>
      </c>
    </row>
    <row r="57" spans="1:7" x14ac:dyDescent="0.4">
      <c r="A57" s="1" t="e">
        <f t="shared" si="2"/>
        <v>#NUM!</v>
      </c>
      <c r="B57" s="1" t="e">
        <f t="shared" si="3"/>
        <v>#NUM!</v>
      </c>
      <c r="C57" s="1" t="e">
        <f t="shared" si="4"/>
        <v>#NUM!</v>
      </c>
      <c r="D57" s="1" t="e">
        <f t="shared" si="5"/>
        <v>#NUM!</v>
      </c>
      <c r="E57" s="1" t="e">
        <f t="shared" si="6"/>
        <v>#NUM!</v>
      </c>
      <c r="F57" s="1" t="e">
        <f t="shared" si="0"/>
        <v>#NUM!</v>
      </c>
      <c r="G57" s="1" t="e">
        <f t="shared" si="1"/>
        <v>#NUM!</v>
      </c>
    </row>
    <row r="58" spans="1:7" x14ac:dyDescent="0.4">
      <c r="A58" s="1" t="e">
        <f t="shared" si="2"/>
        <v>#NUM!</v>
      </c>
      <c r="B58" s="1" t="e">
        <f t="shared" si="3"/>
        <v>#NUM!</v>
      </c>
      <c r="C58" s="1" t="e">
        <f t="shared" si="4"/>
        <v>#NUM!</v>
      </c>
      <c r="D58" s="1" t="e">
        <f t="shared" si="5"/>
        <v>#NUM!</v>
      </c>
      <c r="E58" s="1" t="e">
        <f t="shared" si="6"/>
        <v>#NUM!</v>
      </c>
      <c r="F58" s="1" t="e">
        <f t="shared" si="0"/>
        <v>#NUM!</v>
      </c>
      <c r="G58" s="1" t="e">
        <f t="shared" si="1"/>
        <v>#NUM!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F79E-0512-4E90-9A7D-A60D91B6BE2B}">
  <dimension ref="A1:J20"/>
  <sheetViews>
    <sheetView workbookViewId="0">
      <selection activeCell="F2" sqref="F2"/>
    </sheetView>
  </sheetViews>
  <sheetFormatPr defaultRowHeight="18.75" x14ac:dyDescent="0.4"/>
  <cols>
    <col min="1" max="1" width="6.125" style="1" bestFit="1" customWidth="1"/>
    <col min="2" max="2" width="8.125" style="1" bestFit="1" customWidth="1"/>
    <col min="3" max="5" width="7.125" style="1" bestFit="1" customWidth="1"/>
    <col min="6" max="6" width="6" style="1" bestFit="1" customWidth="1"/>
    <col min="7" max="7" width="6.125" style="1" customWidth="1"/>
    <col min="9" max="9" width="7.875" bestFit="1" customWidth="1"/>
    <col min="10" max="10" width="9.375" bestFit="1" customWidth="1"/>
  </cols>
  <sheetData>
    <row r="1" spans="1:10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/>
    </row>
    <row r="2" spans="1:10" x14ac:dyDescent="0.4">
      <c r="A2" s="3">
        <v>10</v>
      </c>
      <c r="B2" s="1">
        <f>A2^4-16*A2^3+88*A2^2-190*A2+144</f>
        <v>1044</v>
      </c>
      <c r="C2" s="1">
        <f>4*A2^3-48*A2^2+176*A2-190</f>
        <v>770</v>
      </c>
      <c r="D2" s="1">
        <f>12*A2^2-96*A2+176</f>
        <v>416</v>
      </c>
      <c r="E2" s="1">
        <f>C2</f>
        <v>770</v>
      </c>
      <c r="F2" s="1">
        <f>IF(ABS(-C2/D2)&lt;0.01,-C2/D2,SIGN(-C2/D2)*0.01)</f>
        <v>-0.01</v>
      </c>
      <c r="G2" s="1">
        <f>A2+E2*F2</f>
        <v>2.2999999999999998</v>
      </c>
    </row>
    <row r="3" spans="1:10" x14ac:dyDescent="0.4">
      <c r="A3" s="1">
        <f>G2</f>
        <v>2.2999999999999998</v>
      </c>
      <c r="B3" s="1">
        <f>A3^4-16*A3^3+88*A3^2-190*A3+144</f>
        <v>5.8321000000000254</v>
      </c>
      <c r="C3" s="1">
        <f>4*A3^3-48*A3^2+176*A3-190</f>
        <v>9.5479999999999734</v>
      </c>
      <c r="D3" s="1">
        <f>12*A3^2-96*A3+176</f>
        <v>18.680000000000007</v>
      </c>
      <c r="E3" s="1">
        <f>C3</f>
        <v>9.5479999999999734</v>
      </c>
      <c r="F3" s="1">
        <f t="shared" ref="F3:F20" si="0">IF(ABS(-C3/D3)&lt;0.01,-C3/D3,SIGN(-C3/D3)*0.01)</f>
        <v>-0.01</v>
      </c>
      <c r="G3" s="1">
        <f>A3+E3*F3</f>
        <v>2.20452</v>
      </c>
    </row>
    <row r="4" spans="1:10" ht="19.5" thickBot="1" x14ac:dyDescent="0.45">
      <c r="A4" s="1">
        <f>G3</f>
        <v>2.20452</v>
      </c>
      <c r="B4" s="1">
        <f>A4^4-16*A4^3+88*A4^2-190*A4+144</f>
        <v>5.0116064993064242</v>
      </c>
      <c r="C4" s="1">
        <f>4*A4^3-48*A4^2+176*A4-190</f>
        <v>7.5749766727416556</v>
      </c>
      <c r="D4" s="1">
        <f>12*A4^2-96*A4+176</f>
        <v>22.684981164800007</v>
      </c>
      <c r="E4" s="1">
        <f>C4</f>
        <v>7.5749766727416556</v>
      </c>
      <c r="F4" s="1">
        <f t="shared" si="0"/>
        <v>-0.01</v>
      </c>
      <c r="G4" s="1">
        <f>A4+E4*F4</f>
        <v>2.1287702332725833</v>
      </c>
    </row>
    <row r="5" spans="1:10" ht="37.5" x14ac:dyDescent="0.4">
      <c r="A5" s="1">
        <f>G4</f>
        <v>2.1287702332725833</v>
      </c>
      <c r="B5" s="1">
        <f>A5^4-16*A5^3+88*A5^2-190*A5+144</f>
        <v>4.5060418791787811</v>
      </c>
      <c r="C5" s="1">
        <f>4*A5^3-48*A5^2+176*A5-190</f>
        <v>5.7312258683701316</v>
      </c>
      <c r="D5" s="1">
        <f>12*A5^2-96*A5+176</f>
        <v>26.018010078640884</v>
      </c>
      <c r="E5" s="1">
        <f>C5</f>
        <v>5.7312258683701316</v>
      </c>
      <c r="F5" s="1">
        <f t="shared" si="0"/>
        <v>-0.01</v>
      </c>
      <c r="G5" s="1">
        <f>A5+E5*F5</f>
        <v>2.0714579745888821</v>
      </c>
      <c r="I5" s="10" t="s">
        <v>9</v>
      </c>
      <c r="J5" s="11" t="s">
        <v>8</v>
      </c>
    </row>
    <row r="6" spans="1:10" x14ac:dyDescent="0.4">
      <c r="A6" s="1">
        <f t="shared" ref="A6:A20" si="1">G5</f>
        <v>2.0714579745888821</v>
      </c>
      <c r="B6" s="1">
        <f t="shared" ref="B6:B20" si="2">A6^4-16*A6^3+88*A6^2-190*A6+144</f>
        <v>4.2217228432397178</v>
      </c>
      <c r="C6" s="1">
        <f t="shared" ref="C6:C20" si="3">4*A6^3-48*A6^2+176*A6-190</f>
        <v>4.1655649025501305</v>
      </c>
      <c r="D6" s="1">
        <f t="shared" ref="D6:D20" si="4">12*A6^2-96*A6+176</f>
        <v>28.631292125321806</v>
      </c>
      <c r="E6" s="1">
        <f t="shared" ref="E6:E20" si="5">C6</f>
        <v>4.1655649025501305</v>
      </c>
      <c r="F6" s="1">
        <f t="shared" si="0"/>
        <v>-0.01</v>
      </c>
      <c r="G6" s="1">
        <f t="shared" ref="G6:G20" si="6">A6+E6*F6</f>
        <v>2.0298023255633808</v>
      </c>
      <c r="I6" s="12" t="s">
        <v>11</v>
      </c>
      <c r="J6" s="13" t="s">
        <v>10</v>
      </c>
    </row>
    <row r="7" spans="1:10" x14ac:dyDescent="0.4">
      <c r="A7" s="1">
        <f t="shared" si="1"/>
        <v>2.0298023255633808</v>
      </c>
      <c r="B7" s="1">
        <f t="shared" si="2"/>
        <v>4.0736045394272651</v>
      </c>
      <c r="C7" s="1">
        <f t="shared" si="3"/>
        <v>2.9324640105647575</v>
      </c>
      <c r="D7" s="1">
        <f t="shared" si="4"/>
        <v>30.580146516265557</v>
      </c>
      <c r="E7" s="1">
        <f t="shared" si="5"/>
        <v>2.9324640105647575</v>
      </c>
      <c r="F7" s="1">
        <f t="shared" si="0"/>
        <v>-0.01</v>
      </c>
      <c r="G7" s="1">
        <f t="shared" si="6"/>
        <v>2.0004776854577333</v>
      </c>
      <c r="I7" s="14" t="s">
        <v>12</v>
      </c>
      <c r="J7" s="15">
        <v>1.94</v>
      </c>
    </row>
    <row r="8" spans="1:10" x14ac:dyDescent="0.4">
      <c r="A8" s="1">
        <f t="shared" si="1"/>
        <v>2.0004776854577333</v>
      </c>
      <c r="B8" s="1">
        <f t="shared" si="2"/>
        <v>4.000959020977831</v>
      </c>
      <c r="C8" s="1">
        <f t="shared" si="3"/>
        <v>2.015280458681957</v>
      </c>
      <c r="D8" s="1">
        <f t="shared" si="4"/>
        <v>31.977073836229579</v>
      </c>
      <c r="E8" s="1">
        <f t="shared" si="5"/>
        <v>2.015280458681957</v>
      </c>
      <c r="F8" s="1">
        <f t="shared" si="0"/>
        <v>-0.01</v>
      </c>
      <c r="G8" s="1">
        <f t="shared" si="6"/>
        <v>1.9803248808709137</v>
      </c>
      <c r="I8" s="16">
        <v>3</v>
      </c>
      <c r="J8" s="17">
        <v>4.08</v>
      </c>
    </row>
    <row r="9" spans="1:10" x14ac:dyDescent="0.4">
      <c r="A9" s="1">
        <f t="shared" si="1"/>
        <v>1.9803248808709137</v>
      </c>
      <c r="B9" s="1">
        <f t="shared" si="2"/>
        <v>3.9669046081322392</v>
      </c>
      <c r="C9" s="1">
        <f t="shared" si="3"/>
        <v>1.3610750745973235</v>
      </c>
      <c r="D9" s="1">
        <f t="shared" si="4"/>
        <v>32.949051041949076</v>
      </c>
      <c r="E9" s="1">
        <f t="shared" si="5"/>
        <v>1.3610750745973235</v>
      </c>
      <c r="F9" s="1">
        <f t="shared" si="0"/>
        <v>-0.01</v>
      </c>
      <c r="G9" s="1">
        <f t="shared" si="6"/>
        <v>1.9667141301249405</v>
      </c>
      <c r="I9" s="16">
        <v>4</v>
      </c>
      <c r="J9" s="17">
        <v>4.12</v>
      </c>
    </row>
    <row r="10" spans="1:10" x14ac:dyDescent="0.4">
      <c r="A10" s="1">
        <f t="shared" si="1"/>
        <v>1.9667141301249405</v>
      </c>
      <c r="B10" s="1">
        <f t="shared" si="2"/>
        <v>3.9514517063400092</v>
      </c>
      <c r="C10" s="1">
        <f t="shared" si="3"/>
        <v>0.90811386859525101</v>
      </c>
      <c r="D10" s="1">
        <f t="shared" si="4"/>
        <v>33.611017143602936</v>
      </c>
      <c r="E10" s="1">
        <f t="shared" si="5"/>
        <v>0.90811386859525101</v>
      </c>
      <c r="F10" s="1">
        <f t="shared" si="0"/>
        <v>-0.01</v>
      </c>
      <c r="G10" s="1">
        <f t="shared" si="6"/>
        <v>1.9576329914389878</v>
      </c>
      <c r="I10" s="12">
        <v>5</v>
      </c>
      <c r="J10" s="13">
        <v>5.0999999999999996</v>
      </c>
    </row>
    <row r="11" spans="1:10" x14ac:dyDescent="0.4">
      <c r="A11" s="1">
        <f t="shared" si="1"/>
        <v>1.9576329914389878</v>
      </c>
      <c r="B11" s="1">
        <f t="shared" si="2"/>
        <v>3.9445969972449006</v>
      </c>
      <c r="C11" s="1">
        <f t="shared" si="3"/>
        <v>0.60087241518039036</v>
      </c>
      <c r="D11" s="1">
        <f t="shared" si="4"/>
        <v>34.055155971901513</v>
      </c>
      <c r="E11" s="1">
        <f t="shared" si="5"/>
        <v>0.60087241518039036</v>
      </c>
      <c r="F11" s="1">
        <f t="shared" si="0"/>
        <v>-0.01</v>
      </c>
      <c r="G11" s="1">
        <f t="shared" si="6"/>
        <v>1.951624267287184</v>
      </c>
      <c r="I11" s="18">
        <v>6</v>
      </c>
      <c r="J11" s="19">
        <v>5.94</v>
      </c>
    </row>
    <row r="12" spans="1:10" x14ac:dyDescent="0.4">
      <c r="A12" s="1">
        <f t="shared" si="1"/>
        <v>1.951624267287184</v>
      </c>
      <c r="B12" s="1">
        <f t="shared" si="2"/>
        <v>3.9416030709864458</v>
      </c>
      <c r="C12" s="1">
        <f t="shared" si="3"/>
        <v>0.39535863903077484</v>
      </c>
      <c r="D12" s="1">
        <f t="shared" si="4"/>
        <v>34.3501177084012</v>
      </c>
      <c r="E12" s="1">
        <f t="shared" si="5"/>
        <v>0.39535863903077484</v>
      </c>
      <c r="F12" s="1">
        <f t="shared" si="0"/>
        <v>-0.01</v>
      </c>
      <c r="G12" s="1">
        <f t="shared" si="6"/>
        <v>1.9476706808968762</v>
      </c>
      <c r="I12" s="18">
        <v>7</v>
      </c>
      <c r="J12" s="19">
        <v>5.94</v>
      </c>
    </row>
    <row r="13" spans="1:10" x14ac:dyDescent="0.4">
      <c r="A13" s="1">
        <f t="shared" si="1"/>
        <v>1.9476706808968762</v>
      </c>
      <c r="B13" s="1">
        <f t="shared" si="2"/>
        <v>3.9403089537262019</v>
      </c>
      <c r="C13" s="1">
        <f t="shared" si="3"/>
        <v>0.25916801983029814</v>
      </c>
      <c r="D13" s="1">
        <f t="shared" si="4"/>
        <v>34.544667608603504</v>
      </c>
      <c r="E13" s="1">
        <f t="shared" si="5"/>
        <v>0.25916801983029814</v>
      </c>
      <c r="F13" s="1">
        <f t="shared" si="0"/>
        <v>-7.5024030558554621E-3</v>
      </c>
      <c r="G13" s="1">
        <f t="shared" si="6"/>
        <v>1.9457262979529213</v>
      </c>
      <c r="I13" s="18">
        <v>8</v>
      </c>
      <c r="J13" s="19">
        <v>5.94</v>
      </c>
    </row>
    <row r="14" spans="1:10" x14ac:dyDescent="0.4">
      <c r="A14" s="1">
        <f t="shared" si="1"/>
        <v>1.9457262979529213</v>
      </c>
      <c r="B14" s="1">
        <f t="shared" si="2"/>
        <v>3.939870392427224</v>
      </c>
      <c r="C14" s="1">
        <f t="shared" si="3"/>
        <v>0.19190681887246797</v>
      </c>
      <c r="D14" s="1">
        <f t="shared" si="4"/>
        <v>34.640485315066542</v>
      </c>
      <c r="E14" s="1">
        <f t="shared" si="5"/>
        <v>0.19190681887246797</v>
      </c>
      <c r="F14" s="1">
        <f t="shared" si="0"/>
        <v>-5.5399575706579366E-3</v>
      </c>
      <c r="G14" s="1">
        <f t="shared" si="6"/>
        <v>1.9446631423188478</v>
      </c>
      <c r="I14" s="12">
        <v>9</v>
      </c>
      <c r="J14" s="13">
        <v>5.15</v>
      </c>
    </row>
    <row r="15" spans="1:10" ht="19.5" thickBot="1" x14ac:dyDescent="0.45">
      <c r="A15" s="1">
        <f t="shared" si="1"/>
        <v>1.9446631423188478</v>
      </c>
      <c r="B15" s="1">
        <f t="shared" si="2"/>
        <v>3.9396859525558057</v>
      </c>
      <c r="C15" s="1">
        <f t="shared" si="3"/>
        <v>0.15505072359158589</v>
      </c>
      <c r="D15" s="1">
        <f t="shared" si="4"/>
        <v>34.69291518251157</v>
      </c>
      <c r="E15" s="1">
        <f t="shared" si="5"/>
        <v>0.15505072359158589</v>
      </c>
      <c r="F15" s="1">
        <f t="shared" si="0"/>
        <v>-4.4692330631744019E-3</v>
      </c>
      <c r="G15" s="1">
        <f t="shared" si="6"/>
        <v>1.9439701844985031</v>
      </c>
      <c r="I15" s="20">
        <v>10</v>
      </c>
      <c r="J15" s="21">
        <v>1.94</v>
      </c>
    </row>
    <row r="16" spans="1:10" x14ac:dyDescent="0.4">
      <c r="A16" s="1">
        <f t="shared" si="1"/>
        <v>1.9439701844985031</v>
      </c>
      <c r="B16" s="1">
        <f t="shared" si="2"/>
        <v>3.9395868412850064</v>
      </c>
      <c r="C16" s="1">
        <f t="shared" si="3"/>
        <v>0.13099815193450581</v>
      </c>
      <c r="D16" s="1">
        <f t="shared" si="4"/>
        <v>34.727103226773409</v>
      </c>
      <c r="E16" s="1">
        <f t="shared" si="5"/>
        <v>0.13099815193450581</v>
      </c>
      <c r="F16" s="1">
        <f t="shared" si="0"/>
        <v>-3.7722165041831281E-3</v>
      </c>
      <c r="G16" s="1">
        <f t="shared" si="6"/>
        <v>1.9434760311077584</v>
      </c>
    </row>
    <row r="17" spans="1:7" x14ac:dyDescent="0.4">
      <c r="A17" s="1">
        <f t="shared" si="1"/>
        <v>1.9434760311077584</v>
      </c>
      <c r="B17" s="1">
        <f t="shared" si="2"/>
        <v>3.9395263490601167</v>
      </c>
      <c r="C17" s="1">
        <f t="shared" si="3"/>
        <v>0.11383161095841388</v>
      </c>
      <c r="D17" s="1">
        <f t="shared" si="4"/>
        <v>34.751490015539588</v>
      </c>
      <c r="E17" s="1">
        <f t="shared" si="5"/>
        <v>0.11383161095841388</v>
      </c>
      <c r="F17" s="1">
        <f t="shared" si="0"/>
        <v>-3.2755893605572761E-3</v>
      </c>
      <c r="G17" s="1">
        <f t="shared" si="6"/>
        <v>1.9431031654940079</v>
      </c>
    </row>
    <row r="18" spans="1:7" x14ac:dyDescent="0.4">
      <c r="A18" s="1">
        <f t="shared" si="1"/>
        <v>1.9431031654940079</v>
      </c>
      <c r="B18" s="1">
        <f t="shared" si="2"/>
        <v>3.9394863213214535</v>
      </c>
      <c r="C18" s="1">
        <f t="shared" si="3"/>
        <v>0.10087054410576002</v>
      </c>
      <c r="D18" s="1">
        <f t="shared" si="4"/>
        <v>34.769895053609247</v>
      </c>
      <c r="E18" s="1">
        <f t="shared" si="5"/>
        <v>0.10087054410576002</v>
      </c>
      <c r="F18" s="1">
        <f t="shared" si="0"/>
        <v>-2.9010885408263338E-3</v>
      </c>
      <c r="G18" s="1">
        <f t="shared" si="6"/>
        <v>1.9428105311143957</v>
      </c>
    </row>
    <row r="19" spans="1:7" x14ac:dyDescent="0.4">
      <c r="A19" s="1">
        <f t="shared" si="1"/>
        <v>1.9428105311143957</v>
      </c>
      <c r="B19" s="1">
        <f t="shared" si="2"/>
        <v>3.9394582920963614</v>
      </c>
      <c r="C19" s="1">
        <f t="shared" si="3"/>
        <v>9.0693563631958796E-2</v>
      </c>
      <c r="D19" s="1">
        <f t="shared" si="4"/>
        <v>34.784342130726031</v>
      </c>
      <c r="E19" s="1">
        <f t="shared" si="5"/>
        <v>9.0693563631958796E-2</v>
      </c>
      <c r="F19" s="1">
        <f t="shared" si="0"/>
        <v>-2.6073100158432064E-3</v>
      </c>
      <c r="G19" s="1">
        <f t="shared" si="6"/>
        <v>1.9425740648775656</v>
      </c>
    </row>
    <row r="20" spans="1:7" x14ac:dyDescent="0.4">
      <c r="A20" s="1">
        <f t="shared" si="1"/>
        <v>1.9425740648775656</v>
      </c>
      <c r="B20" s="1">
        <f t="shared" si="2"/>
        <v>3.9394378187450911</v>
      </c>
      <c r="C20" s="1">
        <f t="shared" si="3"/>
        <v>8.2466860730193048E-2</v>
      </c>
      <c r="D20" s="1">
        <f t="shared" si="4"/>
        <v>34.796017742173063</v>
      </c>
      <c r="E20" s="1">
        <f t="shared" si="5"/>
        <v>8.2466860730193048E-2</v>
      </c>
      <c r="F20" s="1">
        <f t="shared" si="0"/>
        <v>-2.3700085837766007E-3</v>
      </c>
      <c r="G20" s="1">
        <f t="shared" si="6"/>
        <v>1.9423786177097579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24B4-1DB6-4B48-91E0-B0BEC8F6766F}">
  <dimension ref="A1:J20"/>
  <sheetViews>
    <sheetView workbookViewId="0">
      <selection activeCell="G3" sqref="G3"/>
    </sheetView>
  </sheetViews>
  <sheetFormatPr defaultRowHeight="18.75" x14ac:dyDescent="0.4"/>
  <cols>
    <col min="1" max="1" width="6.125" style="1" bestFit="1" customWidth="1"/>
    <col min="2" max="2" width="8.125" style="1" bestFit="1" customWidth="1"/>
    <col min="3" max="5" width="7.125" style="1" bestFit="1" customWidth="1"/>
    <col min="6" max="6" width="6" style="1" bestFit="1" customWidth="1"/>
    <col min="7" max="7" width="6.125" style="1" customWidth="1"/>
    <col min="9" max="9" width="7.875" bestFit="1" customWidth="1"/>
    <col min="10" max="10" width="9.375" bestFit="1" customWidth="1"/>
  </cols>
  <sheetData>
    <row r="1" spans="1:10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/>
    </row>
    <row r="2" spans="1:10" x14ac:dyDescent="0.4">
      <c r="A2" s="3">
        <v>3</v>
      </c>
      <c r="B2" s="1">
        <f>A2^4-16*A2^3+88*A2^2-190*A2+144</f>
        <v>15</v>
      </c>
      <c r="C2" s="1">
        <f>4*A2^3-48*A2^2+176*A2-190</f>
        <v>14</v>
      </c>
      <c r="D2" s="1">
        <f>12*A2^2-96*A2+176</f>
        <v>-4</v>
      </c>
      <c r="E2" s="1">
        <f>C2</f>
        <v>14</v>
      </c>
      <c r="F2" s="1">
        <f>-C2/D2</f>
        <v>3.5</v>
      </c>
      <c r="G2" s="1">
        <f>A2-E2*F2</f>
        <v>-46</v>
      </c>
    </row>
    <row r="3" spans="1:10" x14ac:dyDescent="0.4">
      <c r="A3" s="1">
        <f>G2</f>
        <v>-46</v>
      </c>
      <c r="B3" s="1">
        <f>A3^4-16*A3^3+88*A3^2-190*A3+144</f>
        <v>6229924</v>
      </c>
      <c r="C3" s="1">
        <f>4*A3^3-48*A3^2+176*A3-190</f>
        <v>-499198</v>
      </c>
      <c r="D3" s="1">
        <f>12*A3^2-96*A3+176</f>
        <v>29984</v>
      </c>
      <c r="E3" s="1">
        <f>C3</f>
        <v>-499198</v>
      </c>
      <c r="F3" s="1">
        <f t="shared" ref="F3:F20" si="0">-C3/D3</f>
        <v>16.648812700106724</v>
      </c>
      <c r="G3" s="1">
        <f t="shared" ref="G3:G20" si="1">A3-E3*F3</f>
        <v>8311008.0022678766</v>
      </c>
    </row>
    <row r="4" spans="1:10" ht="19.5" thickBot="1" x14ac:dyDescent="0.45">
      <c r="A4" s="1">
        <f>G3</f>
        <v>8311008.0022678766</v>
      </c>
      <c r="B4" s="1">
        <f>A4^4-16*A4^3+88*A4^2-190*A4+144</f>
        <v>4.7710499765716939E+27</v>
      </c>
      <c r="C4" s="1">
        <f>4*A4^3-48*A4^2+176*A4-190</f>
        <v>2.2962568542958534E+21</v>
      </c>
      <c r="D4" s="1">
        <f>12*A4^2-96*A4+176</f>
        <v>828873450308535.88</v>
      </c>
      <c r="E4" s="1">
        <f>C4</f>
        <v>2.2962568542958534E+21</v>
      </c>
      <c r="F4" s="1">
        <f t="shared" si="0"/>
        <v>-2770334.6674225186</v>
      </c>
      <c r="G4" s="1">
        <f t="shared" si="1"/>
        <v>6.3613999687623813E+27</v>
      </c>
    </row>
    <row r="5" spans="1:10" ht="37.5" x14ac:dyDescent="0.4">
      <c r="A5" s="1">
        <f>G4</f>
        <v>6.3613999687623813E+27</v>
      </c>
      <c r="B5" s="1">
        <f>A5^4-16*A5^3+88*A5^2-190*A5+144</f>
        <v>1.6376112367047841E+111</v>
      </c>
      <c r="C5" s="1">
        <f>4*A5^3-48*A5^2+176*A5-190</f>
        <v>1.0297175117089098E+84</v>
      </c>
      <c r="D5" s="1">
        <f>12*A5^2-96*A5+176</f>
        <v>4.8560891475084034E+56</v>
      </c>
      <c r="E5" s="1">
        <f>C5</f>
        <v>1.0297175117089098E+84</v>
      </c>
      <c r="F5" s="1">
        <f t="shared" si="0"/>
        <v>-2.1204666562541269E+27</v>
      </c>
      <c r="G5" s="1">
        <f t="shared" si="1"/>
        <v>2.1834816489397117E+111</v>
      </c>
      <c r="I5" s="4" t="s">
        <v>9</v>
      </c>
      <c r="J5" s="5" t="s">
        <v>8</v>
      </c>
    </row>
    <row r="6" spans="1:10" x14ac:dyDescent="0.4">
      <c r="A6" s="1">
        <f t="shared" ref="A6:A20" si="2">G5</f>
        <v>2.1834816489397117E+111</v>
      </c>
      <c r="B6" s="1" t="e">
        <f t="shared" ref="B6:B20" si="3">A6^4-16*A6^3+88*A6^2-190*A6+144</f>
        <v>#NUM!</v>
      </c>
      <c r="C6" s="1" t="e">
        <f t="shared" ref="C6:C20" si="4">4*A6^3-48*A6^2+176*A6-190</f>
        <v>#NUM!</v>
      </c>
      <c r="D6" s="1">
        <f t="shared" ref="D6:D20" si="5">12*A6^2-96*A6+176</f>
        <v>5.721110533507779E+223</v>
      </c>
      <c r="E6" s="1" t="e">
        <f t="shared" ref="E6:E20" si="6">C6</f>
        <v>#NUM!</v>
      </c>
      <c r="F6" s="1" t="e">
        <f t="shared" si="0"/>
        <v>#NUM!</v>
      </c>
      <c r="G6" s="1" t="e">
        <f t="shared" si="1"/>
        <v>#NUM!</v>
      </c>
      <c r="I6" s="6">
        <v>1</v>
      </c>
      <c r="J6" s="7" t="s">
        <v>10</v>
      </c>
    </row>
    <row r="7" spans="1:10" x14ac:dyDescent="0.4">
      <c r="A7" s="1" t="e">
        <f t="shared" si="2"/>
        <v>#NUM!</v>
      </c>
      <c r="B7" s="1" t="e">
        <f t="shared" si="3"/>
        <v>#NUM!</v>
      </c>
      <c r="C7" s="1" t="e">
        <f t="shared" si="4"/>
        <v>#NUM!</v>
      </c>
      <c r="D7" s="1" t="e">
        <f t="shared" si="5"/>
        <v>#NUM!</v>
      </c>
      <c r="E7" s="1" t="e">
        <f t="shared" si="6"/>
        <v>#NUM!</v>
      </c>
      <c r="F7" s="1" t="e">
        <f t="shared" si="0"/>
        <v>#NUM!</v>
      </c>
      <c r="G7" s="1" t="e">
        <f t="shared" si="1"/>
        <v>#NUM!</v>
      </c>
      <c r="I7" s="6">
        <v>2</v>
      </c>
      <c r="J7" s="7" t="s">
        <v>10</v>
      </c>
    </row>
    <row r="8" spans="1:10" x14ac:dyDescent="0.4">
      <c r="A8" s="1" t="e">
        <f t="shared" si="2"/>
        <v>#NUM!</v>
      </c>
      <c r="B8" s="1" t="e">
        <f t="shared" si="3"/>
        <v>#NUM!</v>
      </c>
      <c r="C8" s="1" t="e">
        <f t="shared" si="4"/>
        <v>#NUM!</v>
      </c>
      <c r="D8" s="1" t="e">
        <f t="shared" si="5"/>
        <v>#NUM!</v>
      </c>
      <c r="E8" s="1" t="e">
        <f t="shared" si="6"/>
        <v>#NUM!</v>
      </c>
      <c r="F8" s="1" t="e">
        <f t="shared" si="0"/>
        <v>#NUM!</v>
      </c>
      <c r="G8" s="1" t="e">
        <f t="shared" si="1"/>
        <v>#NUM!</v>
      </c>
      <c r="I8" s="6">
        <v>3</v>
      </c>
      <c r="J8" s="7" t="s">
        <v>10</v>
      </c>
    </row>
    <row r="9" spans="1:10" x14ac:dyDescent="0.4">
      <c r="A9" s="1" t="e">
        <f t="shared" si="2"/>
        <v>#NUM!</v>
      </c>
      <c r="B9" s="1" t="e">
        <f t="shared" si="3"/>
        <v>#NUM!</v>
      </c>
      <c r="C9" s="1" t="e">
        <f t="shared" si="4"/>
        <v>#NUM!</v>
      </c>
      <c r="D9" s="1" t="e">
        <f t="shared" si="5"/>
        <v>#NUM!</v>
      </c>
      <c r="E9" s="1" t="e">
        <f t="shared" si="6"/>
        <v>#NUM!</v>
      </c>
      <c r="F9" s="1" t="e">
        <f t="shared" si="0"/>
        <v>#NUM!</v>
      </c>
      <c r="G9" s="1" t="e">
        <f t="shared" si="1"/>
        <v>#NUM!</v>
      </c>
      <c r="I9" s="6">
        <v>4</v>
      </c>
      <c r="J9" s="7" t="s">
        <v>10</v>
      </c>
    </row>
    <row r="10" spans="1:10" x14ac:dyDescent="0.4">
      <c r="A10" s="1" t="e">
        <f t="shared" si="2"/>
        <v>#NUM!</v>
      </c>
      <c r="B10" s="1" t="e">
        <f t="shared" si="3"/>
        <v>#NUM!</v>
      </c>
      <c r="C10" s="1" t="e">
        <f t="shared" si="4"/>
        <v>#NUM!</v>
      </c>
      <c r="D10" s="1" t="e">
        <f t="shared" si="5"/>
        <v>#NUM!</v>
      </c>
      <c r="E10" s="1" t="e">
        <f t="shared" si="6"/>
        <v>#NUM!</v>
      </c>
      <c r="F10" s="1" t="e">
        <f t="shared" si="0"/>
        <v>#NUM!</v>
      </c>
      <c r="G10" s="1" t="e">
        <f t="shared" si="1"/>
        <v>#NUM!</v>
      </c>
      <c r="I10" s="6">
        <v>5</v>
      </c>
      <c r="J10" s="7" t="s">
        <v>10</v>
      </c>
    </row>
    <row r="11" spans="1:10" x14ac:dyDescent="0.4">
      <c r="A11" s="1" t="e">
        <f t="shared" si="2"/>
        <v>#NUM!</v>
      </c>
      <c r="B11" s="1" t="e">
        <f t="shared" si="3"/>
        <v>#NUM!</v>
      </c>
      <c r="C11" s="1" t="e">
        <f t="shared" si="4"/>
        <v>#NUM!</v>
      </c>
      <c r="D11" s="1" t="e">
        <f t="shared" si="5"/>
        <v>#NUM!</v>
      </c>
      <c r="E11" s="1" t="e">
        <f t="shared" si="6"/>
        <v>#NUM!</v>
      </c>
      <c r="F11" s="1" t="e">
        <f t="shared" si="0"/>
        <v>#NUM!</v>
      </c>
      <c r="G11" s="1" t="e">
        <f t="shared" si="1"/>
        <v>#NUM!</v>
      </c>
      <c r="I11" s="6">
        <v>6</v>
      </c>
      <c r="J11" s="7" t="s">
        <v>10</v>
      </c>
    </row>
    <row r="12" spans="1:10" x14ac:dyDescent="0.4">
      <c r="A12" s="1" t="e">
        <f t="shared" si="2"/>
        <v>#NUM!</v>
      </c>
      <c r="B12" s="1" t="e">
        <f t="shared" si="3"/>
        <v>#NUM!</v>
      </c>
      <c r="C12" s="1" t="e">
        <f t="shared" si="4"/>
        <v>#NUM!</v>
      </c>
      <c r="D12" s="1" t="e">
        <f t="shared" si="5"/>
        <v>#NUM!</v>
      </c>
      <c r="E12" s="1" t="e">
        <f t="shared" si="6"/>
        <v>#NUM!</v>
      </c>
      <c r="F12" s="1" t="e">
        <f t="shared" si="0"/>
        <v>#NUM!</v>
      </c>
      <c r="G12" s="1" t="e">
        <f t="shared" si="1"/>
        <v>#NUM!</v>
      </c>
      <c r="I12" s="6">
        <v>7</v>
      </c>
      <c r="J12" s="7" t="s">
        <v>10</v>
      </c>
    </row>
    <row r="13" spans="1:10" x14ac:dyDescent="0.4">
      <c r="A13" s="1" t="e">
        <f t="shared" si="2"/>
        <v>#NUM!</v>
      </c>
      <c r="B13" s="1" t="e">
        <f t="shared" si="3"/>
        <v>#NUM!</v>
      </c>
      <c r="C13" s="1" t="e">
        <f t="shared" si="4"/>
        <v>#NUM!</v>
      </c>
      <c r="D13" s="1" t="e">
        <f t="shared" si="5"/>
        <v>#NUM!</v>
      </c>
      <c r="E13" s="1" t="e">
        <f t="shared" si="6"/>
        <v>#NUM!</v>
      </c>
      <c r="F13" s="1" t="e">
        <f t="shared" si="0"/>
        <v>#NUM!</v>
      </c>
      <c r="G13" s="1" t="e">
        <f t="shared" si="1"/>
        <v>#NUM!</v>
      </c>
      <c r="I13" s="6">
        <v>8</v>
      </c>
      <c r="J13" s="7" t="s">
        <v>10</v>
      </c>
    </row>
    <row r="14" spans="1:10" x14ac:dyDescent="0.4">
      <c r="A14" s="1" t="e">
        <f t="shared" si="2"/>
        <v>#NUM!</v>
      </c>
      <c r="B14" s="1" t="e">
        <f t="shared" si="3"/>
        <v>#NUM!</v>
      </c>
      <c r="C14" s="1" t="e">
        <f t="shared" si="4"/>
        <v>#NUM!</v>
      </c>
      <c r="D14" s="1" t="e">
        <f t="shared" si="5"/>
        <v>#NUM!</v>
      </c>
      <c r="E14" s="1" t="e">
        <f t="shared" si="6"/>
        <v>#NUM!</v>
      </c>
      <c r="F14" s="1" t="e">
        <f t="shared" si="0"/>
        <v>#NUM!</v>
      </c>
      <c r="G14" s="1" t="e">
        <f t="shared" si="1"/>
        <v>#NUM!</v>
      </c>
      <c r="I14" s="6">
        <v>9</v>
      </c>
      <c r="J14" s="7" t="s">
        <v>10</v>
      </c>
    </row>
    <row r="15" spans="1:10" ht="19.5" thickBot="1" x14ac:dyDescent="0.45">
      <c r="A15" s="1" t="e">
        <f t="shared" si="2"/>
        <v>#NUM!</v>
      </c>
      <c r="B15" s="1" t="e">
        <f t="shared" si="3"/>
        <v>#NUM!</v>
      </c>
      <c r="C15" s="1" t="e">
        <f t="shared" si="4"/>
        <v>#NUM!</v>
      </c>
      <c r="D15" s="1" t="e">
        <f t="shared" si="5"/>
        <v>#NUM!</v>
      </c>
      <c r="E15" s="1" t="e">
        <f t="shared" si="6"/>
        <v>#NUM!</v>
      </c>
      <c r="F15" s="1" t="e">
        <f t="shared" si="0"/>
        <v>#NUM!</v>
      </c>
      <c r="G15" s="1" t="e">
        <f t="shared" si="1"/>
        <v>#NUM!</v>
      </c>
      <c r="I15" s="8">
        <v>10</v>
      </c>
      <c r="J15" s="9" t="s">
        <v>10</v>
      </c>
    </row>
    <row r="16" spans="1:10" x14ac:dyDescent="0.4">
      <c r="A16" s="1" t="e">
        <f t="shared" si="2"/>
        <v>#NUM!</v>
      </c>
      <c r="B16" s="1" t="e">
        <f t="shared" si="3"/>
        <v>#NUM!</v>
      </c>
      <c r="C16" s="1" t="e">
        <f t="shared" si="4"/>
        <v>#NUM!</v>
      </c>
      <c r="D16" s="1" t="e">
        <f t="shared" si="5"/>
        <v>#NUM!</v>
      </c>
      <c r="E16" s="1" t="e">
        <f t="shared" si="6"/>
        <v>#NUM!</v>
      </c>
      <c r="F16" s="1" t="e">
        <f t="shared" si="0"/>
        <v>#NUM!</v>
      </c>
      <c r="G16" s="1" t="e">
        <f t="shared" si="1"/>
        <v>#NUM!</v>
      </c>
    </row>
    <row r="17" spans="1:7" x14ac:dyDescent="0.4">
      <c r="A17" s="1" t="e">
        <f t="shared" si="2"/>
        <v>#NUM!</v>
      </c>
      <c r="B17" s="1" t="e">
        <f t="shared" si="3"/>
        <v>#NUM!</v>
      </c>
      <c r="C17" s="1" t="e">
        <f t="shared" si="4"/>
        <v>#NUM!</v>
      </c>
      <c r="D17" s="1" t="e">
        <f t="shared" si="5"/>
        <v>#NUM!</v>
      </c>
      <c r="E17" s="1" t="e">
        <f t="shared" si="6"/>
        <v>#NUM!</v>
      </c>
      <c r="F17" s="1" t="e">
        <f t="shared" si="0"/>
        <v>#NUM!</v>
      </c>
      <c r="G17" s="1" t="e">
        <f t="shared" si="1"/>
        <v>#NUM!</v>
      </c>
    </row>
    <row r="18" spans="1:7" x14ac:dyDescent="0.4">
      <c r="A18" s="1" t="e">
        <f t="shared" si="2"/>
        <v>#NUM!</v>
      </c>
      <c r="B18" s="1" t="e">
        <f t="shared" si="3"/>
        <v>#NUM!</v>
      </c>
      <c r="C18" s="1" t="e">
        <f t="shared" si="4"/>
        <v>#NUM!</v>
      </c>
      <c r="D18" s="1" t="e">
        <f t="shared" si="5"/>
        <v>#NUM!</v>
      </c>
      <c r="E18" s="1" t="e">
        <f t="shared" si="6"/>
        <v>#NUM!</v>
      </c>
      <c r="F18" s="1" t="e">
        <f t="shared" si="0"/>
        <v>#NUM!</v>
      </c>
      <c r="G18" s="1" t="e">
        <f t="shared" si="1"/>
        <v>#NUM!</v>
      </c>
    </row>
    <row r="19" spans="1:7" x14ac:dyDescent="0.4">
      <c r="A19" s="1" t="e">
        <f t="shared" si="2"/>
        <v>#NUM!</v>
      </c>
      <c r="B19" s="1" t="e">
        <f t="shared" si="3"/>
        <v>#NUM!</v>
      </c>
      <c r="C19" s="1" t="e">
        <f t="shared" si="4"/>
        <v>#NUM!</v>
      </c>
      <c r="D19" s="1" t="e">
        <f t="shared" si="5"/>
        <v>#NUM!</v>
      </c>
      <c r="E19" s="1" t="e">
        <f t="shared" si="6"/>
        <v>#NUM!</v>
      </c>
      <c r="F19" s="1" t="e">
        <f t="shared" si="0"/>
        <v>#NUM!</v>
      </c>
      <c r="G19" s="1" t="e">
        <f t="shared" si="1"/>
        <v>#NUM!</v>
      </c>
    </row>
    <row r="20" spans="1:7" x14ac:dyDescent="0.4">
      <c r="A20" s="1" t="e">
        <f t="shared" si="2"/>
        <v>#NUM!</v>
      </c>
      <c r="B20" s="1" t="e">
        <f t="shared" si="3"/>
        <v>#NUM!</v>
      </c>
      <c r="C20" s="1" t="e">
        <f t="shared" si="4"/>
        <v>#NUM!</v>
      </c>
      <c r="D20" s="1" t="e">
        <f t="shared" si="5"/>
        <v>#NUM!</v>
      </c>
      <c r="E20" s="1" t="e">
        <f t="shared" si="6"/>
        <v>#NUM!</v>
      </c>
      <c r="F20" s="1" t="e">
        <f t="shared" si="0"/>
        <v>#NUM!</v>
      </c>
      <c r="G20" s="1" t="e">
        <f t="shared" si="1"/>
        <v>#NUM!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F479-7EB6-47E9-89A7-93F7387CAF85}">
  <dimension ref="A2:H15"/>
  <sheetViews>
    <sheetView tabSelected="1" workbookViewId="0">
      <selection activeCell="K13" sqref="K13"/>
    </sheetView>
  </sheetViews>
  <sheetFormatPr defaultRowHeight="18.75" x14ac:dyDescent="0.4"/>
  <cols>
    <col min="1" max="3" width="9" style="1"/>
    <col min="6" max="8" width="9" style="1"/>
  </cols>
  <sheetData>
    <row r="2" spans="1:8" x14ac:dyDescent="0.4">
      <c r="A2" s="1" t="s">
        <v>14</v>
      </c>
      <c r="B2" s="1" t="s">
        <v>15</v>
      </c>
      <c r="C2" s="1" t="s">
        <v>2</v>
      </c>
      <c r="D2" t="s">
        <v>16</v>
      </c>
      <c r="E2" t="s">
        <v>17</v>
      </c>
      <c r="F2" s="1" t="s">
        <v>18</v>
      </c>
      <c r="G2" s="1" t="s">
        <v>19</v>
      </c>
      <c r="H2" s="1" t="s">
        <v>29</v>
      </c>
    </row>
    <row r="3" spans="1:8" x14ac:dyDescent="0.4">
      <c r="A3" s="1">
        <v>2</v>
      </c>
      <c r="B3" s="1">
        <v>1</v>
      </c>
      <c r="C3" s="1">
        <f>A3^2-16*A3+2*B3^2-16*B3</f>
        <v>-42</v>
      </c>
      <c r="D3">
        <f>2*A3-16</f>
        <v>-12</v>
      </c>
      <c r="E3">
        <f>4*B3-16</f>
        <v>-12</v>
      </c>
      <c r="F3" s="1">
        <f>A3-0.2*D3</f>
        <v>4.4000000000000004</v>
      </c>
      <c r="G3" s="1">
        <f>B3-0.2*E3</f>
        <v>3.4000000000000004</v>
      </c>
      <c r="H3" s="1">
        <f>F3^2-16*F3+2*G3^2-16*G3</f>
        <v>-82.320000000000007</v>
      </c>
    </row>
    <row r="4" spans="1:8" x14ac:dyDescent="0.4">
      <c r="A4" s="1">
        <f>F3</f>
        <v>4.4000000000000004</v>
      </c>
      <c r="B4" s="1">
        <f>G3</f>
        <v>3.4000000000000004</v>
      </c>
      <c r="C4" s="1">
        <f t="shared" ref="C4:C10" si="0">A4^2-16*A4+2*B4^2-16*B4</f>
        <v>-82.320000000000007</v>
      </c>
      <c r="D4">
        <f>2*A4-16</f>
        <v>-7.1999999999999993</v>
      </c>
      <c r="E4">
        <f>4*B4-16</f>
        <v>-2.3999999999999986</v>
      </c>
      <c r="F4" s="1">
        <f t="shared" ref="F4:F10" si="1">A4-0.2*D4</f>
        <v>5.84</v>
      </c>
      <c r="G4" s="1">
        <f t="shared" ref="G4:G10" si="2">B4-0.2*E4</f>
        <v>3.88</v>
      </c>
      <c r="H4" s="1">
        <f t="shared" ref="H4:H10" si="3">F4^2-16*F4+2*G4^2-16*G4</f>
        <v>-91.305599999999998</v>
      </c>
    </row>
    <row r="5" spans="1:8" x14ac:dyDescent="0.4">
      <c r="A5" s="1">
        <f t="shared" ref="A5:A10" si="4">F4</f>
        <v>5.84</v>
      </c>
      <c r="B5" s="1">
        <f t="shared" ref="B5:B10" si="5">G4</f>
        <v>3.88</v>
      </c>
      <c r="C5" s="1">
        <f t="shared" si="0"/>
        <v>-91.305599999999998</v>
      </c>
      <c r="D5">
        <f t="shared" ref="D5:D10" si="6">2*A5-16</f>
        <v>-4.32</v>
      </c>
      <c r="E5">
        <f t="shared" ref="E5:E10" si="7">4*B5-16</f>
        <v>-0.48000000000000043</v>
      </c>
      <c r="F5" s="1">
        <f t="shared" si="1"/>
        <v>6.7039999999999997</v>
      </c>
      <c r="G5" s="1">
        <f t="shared" si="2"/>
        <v>3.976</v>
      </c>
      <c r="H5" s="1">
        <f t="shared" si="3"/>
        <v>-94.319232</v>
      </c>
    </row>
    <row r="6" spans="1:8" x14ac:dyDescent="0.4">
      <c r="A6" s="1">
        <f t="shared" si="4"/>
        <v>6.7039999999999997</v>
      </c>
      <c r="B6" s="1">
        <f t="shared" si="5"/>
        <v>3.976</v>
      </c>
      <c r="C6" s="1">
        <f t="shared" si="0"/>
        <v>-94.319232</v>
      </c>
      <c r="D6">
        <f t="shared" si="6"/>
        <v>-2.5920000000000005</v>
      </c>
      <c r="E6">
        <f t="shared" si="7"/>
        <v>-9.6000000000000085E-2</v>
      </c>
      <c r="F6" s="1">
        <f t="shared" si="1"/>
        <v>7.2223999999999995</v>
      </c>
      <c r="G6" s="1">
        <f t="shared" si="2"/>
        <v>3.9952000000000001</v>
      </c>
      <c r="H6" s="1">
        <f t="shared" si="3"/>
        <v>-95.395292159999997</v>
      </c>
    </row>
    <row r="7" spans="1:8" x14ac:dyDescent="0.4">
      <c r="A7" s="1">
        <f t="shared" si="4"/>
        <v>7.2223999999999995</v>
      </c>
      <c r="B7" s="1">
        <f t="shared" si="5"/>
        <v>3.9952000000000001</v>
      </c>
      <c r="C7" s="1">
        <f t="shared" si="0"/>
        <v>-95.395292159999997</v>
      </c>
      <c r="D7">
        <f t="shared" si="6"/>
        <v>-1.555200000000001</v>
      </c>
      <c r="E7">
        <f t="shared" si="7"/>
        <v>-1.9199999999999662E-2</v>
      </c>
      <c r="F7" s="1">
        <f t="shared" si="1"/>
        <v>7.5334399999999997</v>
      </c>
      <c r="G7" s="1">
        <f t="shared" si="2"/>
        <v>3.9990399999999999</v>
      </c>
      <c r="H7" s="1">
        <f t="shared" si="3"/>
        <v>-95.782319923200006</v>
      </c>
    </row>
    <row r="8" spans="1:8" x14ac:dyDescent="0.4">
      <c r="A8" s="1">
        <f t="shared" si="4"/>
        <v>7.5334399999999997</v>
      </c>
      <c r="B8" s="1">
        <f t="shared" si="5"/>
        <v>3.9990399999999999</v>
      </c>
      <c r="C8" s="1">
        <f t="shared" si="0"/>
        <v>-95.782319923200006</v>
      </c>
      <c r="D8">
        <f t="shared" si="6"/>
        <v>-0.93312000000000062</v>
      </c>
      <c r="E8">
        <f t="shared" si="7"/>
        <v>-3.8400000000002876E-3</v>
      </c>
      <c r="F8" s="1">
        <f t="shared" si="1"/>
        <v>7.7200639999999998</v>
      </c>
      <c r="G8" s="1">
        <f t="shared" si="2"/>
        <v>3.9998079999999998</v>
      </c>
      <c r="H8" s="1">
        <f t="shared" si="3"/>
        <v>-95.921635762175995</v>
      </c>
    </row>
    <row r="9" spans="1:8" x14ac:dyDescent="0.4">
      <c r="A9" s="1">
        <f t="shared" si="4"/>
        <v>7.7200639999999998</v>
      </c>
      <c r="B9" s="1">
        <f t="shared" si="5"/>
        <v>3.9998079999999998</v>
      </c>
      <c r="C9" s="1">
        <f t="shared" si="0"/>
        <v>-95.921635762175995</v>
      </c>
      <c r="D9">
        <f t="shared" si="6"/>
        <v>-0.55987200000000037</v>
      </c>
      <c r="E9">
        <f t="shared" si="7"/>
        <v>-7.6800000000076807E-4</v>
      </c>
      <c r="F9" s="1">
        <f t="shared" si="1"/>
        <v>7.8320384000000001</v>
      </c>
      <c r="G9" s="1">
        <f t="shared" si="2"/>
        <v>3.9999615999999998</v>
      </c>
      <c r="H9" s="1">
        <f t="shared" si="3"/>
        <v>-95.971788897976325</v>
      </c>
    </row>
    <row r="10" spans="1:8" x14ac:dyDescent="0.4">
      <c r="A10" s="1">
        <f t="shared" si="4"/>
        <v>7.8320384000000001</v>
      </c>
      <c r="B10" s="1">
        <f t="shared" si="5"/>
        <v>3.9999615999999998</v>
      </c>
      <c r="C10" s="1">
        <f t="shared" si="0"/>
        <v>-95.971788897976325</v>
      </c>
      <c r="D10">
        <f t="shared" si="6"/>
        <v>-0.33592319999999987</v>
      </c>
      <c r="E10">
        <f t="shared" si="7"/>
        <v>-1.5360000000086416E-4</v>
      </c>
      <c r="F10" s="1">
        <f t="shared" si="1"/>
        <v>7.8992230399999999</v>
      </c>
      <c r="G10" s="1">
        <f t="shared" si="2"/>
        <v>3.99999232</v>
      </c>
      <c r="H10" s="1">
        <f t="shared" si="3"/>
        <v>-95.9898440042152</v>
      </c>
    </row>
    <row r="11" spans="1:8" x14ac:dyDescent="0.4">
      <c r="A11" s="1">
        <f t="shared" ref="A11:A15" si="8">F10</f>
        <v>7.8992230399999999</v>
      </c>
      <c r="B11" s="1">
        <f t="shared" ref="B11:B15" si="9">G10</f>
        <v>3.99999232</v>
      </c>
      <c r="C11" s="1">
        <f t="shared" ref="C11:C15" si="10">A11^2-16*A11+2*B11^2-16*B11</f>
        <v>-95.9898440042152</v>
      </c>
      <c r="D11">
        <f t="shared" ref="D11:D15" si="11">2*A11-16</f>
        <v>-0.20155392000000028</v>
      </c>
      <c r="E11">
        <f t="shared" ref="E11:E15" si="12">4*B11-16</f>
        <v>-3.071999999981756E-5</v>
      </c>
      <c r="F11" s="1">
        <f t="shared" ref="F11:F15" si="13">A11-0.2*D11</f>
        <v>7.9395338239999997</v>
      </c>
      <c r="G11" s="1">
        <f t="shared" ref="G11:G15" si="14">B11-0.2*E11</f>
        <v>3.9999984639999999</v>
      </c>
      <c r="H11" s="1">
        <f t="shared" ref="H11:H15" si="15">F11^2-16*F11+2*G11^2-16*G11</f>
        <v>-95.996343841555216</v>
      </c>
    </row>
    <row r="12" spans="1:8" x14ac:dyDescent="0.4">
      <c r="A12" s="1">
        <f t="shared" si="8"/>
        <v>7.9395338239999997</v>
      </c>
      <c r="B12" s="1">
        <f t="shared" si="9"/>
        <v>3.9999984639999999</v>
      </c>
      <c r="C12" s="1">
        <f t="shared" si="10"/>
        <v>-95.996343841555216</v>
      </c>
      <c r="D12">
        <f t="shared" si="11"/>
        <v>-0.12093235200000052</v>
      </c>
      <c r="E12">
        <f t="shared" si="12"/>
        <v>-6.1440000003187833E-6</v>
      </c>
      <c r="F12" s="1">
        <f t="shared" si="13"/>
        <v>7.9637202943999998</v>
      </c>
      <c r="G12" s="1">
        <f t="shared" si="14"/>
        <v>3.9999996927999999</v>
      </c>
      <c r="H12" s="1">
        <f t="shared" si="15"/>
        <v>-95.998683782961393</v>
      </c>
    </row>
    <row r="13" spans="1:8" x14ac:dyDescent="0.4">
      <c r="A13" s="1">
        <f t="shared" si="8"/>
        <v>7.9637202943999998</v>
      </c>
      <c r="B13" s="1">
        <f t="shared" si="9"/>
        <v>3.9999996927999999</v>
      </c>
      <c r="C13" s="1">
        <f t="shared" si="10"/>
        <v>-95.998683782961393</v>
      </c>
      <c r="D13">
        <f t="shared" si="11"/>
        <v>-7.2559411200000312E-2</v>
      </c>
      <c r="E13">
        <f t="shared" si="12"/>
        <v>-1.228800000419028E-6</v>
      </c>
      <c r="F13" s="1">
        <f t="shared" si="13"/>
        <v>7.9782321766399997</v>
      </c>
      <c r="G13" s="1">
        <f t="shared" si="14"/>
        <v>3.9999999385599998</v>
      </c>
      <c r="H13" s="1">
        <f t="shared" si="15"/>
        <v>-95.999526161866157</v>
      </c>
    </row>
    <row r="14" spans="1:8" x14ac:dyDescent="0.4">
      <c r="A14" s="1">
        <f t="shared" si="8"/>
        <v>7.9782321766399997</v>
      </c>
      <c r="B14" s="1">
        <f t="shared" si="9"/>
        <v>3.9999999385599998</v>
      </c>
      <c r="C14" s="1">
        <f t="shared" si="10"/>
        <v>-95.999526161866157</v>
      </c>
      <c r="D14">
        <f t="shared" si="11"/>
        <v>-4.3535646720000543E-2</v>
      </c>
      <c r="E14">
        <f t="shared" si="12"/>
        <v>-2.4576000079434834E-7</v>
      </c>
      <c r="F14" s="1">
        <f t="shared" si="13"/>
        <v>7.9869393059839995</v>
      </c>
      <c r="G14" s="1">
        <f t="shared" si="14"/>
        <v>3.999999987712</v>
      </c>
      <c r="H14" s="1">
        <f t="shared" si="15"/>
        <v>-95.999829418271815</v>
      </c>
    </row>
    <row r="15" spans="1:8" x14ac:dyDescent="0.4">
      <c r="A15" s="1">
        <f t="shared" si="8"/>
        <v>7.9869393059839995</v>
      </c>
      <c r="B15" s="1">
        <f t="shared" si="9"/>
        <v>3.999999987712</v>
      </c>
      <c r="C15" s="1">
        <f t="shared" si="10"/>
        <v>-95.999829418271815</v>
      </c>
      <c r="D15">
        <f t="shared" si="11"/>
        <v>-2.6121388032001036E-2</v>
      </c>
      <c r="E15">
        <f t="shared" si="12"/>
        <v>-4.9151999803598301E-8</v>
      </c>
      <c r="F15" s="1">
        <f t="shared" si="13"/>
        <v>7.9921635835903997</v>
      </c>
      <c r="G15" s="1">
        <f t="shared" si="14"/>
        <v>3.9999999975424001</v>
      </c>
      <c r="H15" s="1">
        <f t="shared" si="15"/>
        <v>-95.999938590577855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AD7A-4DF5-4D91-BAC9-B0BAB1B974CC}">
  <dimension ref="A1:O389"/>
  <sheetViews>
    <sheetView workbookViewId="0">
      <selection activeCell="K6" sqref="K6"/>
    </sheetView>
  </sheetViews>
  <sheetFormatPr defaultRowHeight="18.75" x14ac:dyDescent="0.4"/>
  <cols>
    <col min="1" max="1" width="6.125" style="1" bestFit="1" customWidth="1"/>
    <col min="2" max="2" width="9.125" style="30" bestFit="1" customWidth="1"/>
    <col min="3" max="3" width="8.125" style="30" bestFit="1" customWidth="1"/>
    <col min="4" max="8" width="9.875" style="30" customWidth="1"/>
    <col min="9" max="11" width="9.375" style="30" customWidth="1"/>
    <col min="12" max="12" width="7.125" style="30" bestFit="1" customWidth="1"/>
    <col min="13" max="13" width="8" style="1" customWidth="1"/>
    <col min="14" max="14" width="7.875" bestFit="1" customWidth="1"/>
    <col min="15" max="15" width="9.375" bestFit="1" customWidth="1"/>
  </cols>
  <sheetData>
    <row r="1" spans="1:15" x14ac:dyDescent="0.4">
      <c r="A1" s="1" t="s">
        <v>0</v>
      </c>
      <c r="B1" s="30" t="s">
        <v>21</v>
      </c>
      <c r="C1" s="30" t="s">
        <v>6</v>
      </c>
      <c r="D1" s="30" t="s">
        <v>20</v>
      </c>
      <c r="E1" s="30" t="s">
        <v>22</v>
      </c>
      <c r="F1" s="30" t="s">
        <v>23</v>
      </c>
      <c r="G1" s="30" t="s">
        <v>24</v>
      </c>
      <c r="H1" s="30" t="s">
        <v>26</v>
      </c>
      <c r="I1" s="30" t="s">
        <v>25</v>
      </c>
      <c r="J1" s="30" t="s">
        <v>27</v>
      </c>
      <c r="K1" s="30" t="s">
        <v>28</v>
      </c>
      <c r="L1" s="30" t="s">
        <v>7</v>
      </c>
      <c r="M1" s="1" t="s">
        <v>29</v>
      </c>
      <c r="N1" s="2"/>
    </row>
    <row r="2" spans="1:15" x14ac:dyDescent="0.4">
      <c r="A2" s="3">
        <v>10</v>
      </c>
      <c r="B2" s="30">
        <f>A2^4-16*A2^3+88*A2^2-190*A2+144</f>
        <v>1044</v>
      </c>
      <c r="C2" s="30">
        <f ca="1">0.2*(RAND()-0.5)</f>
        <v>-4.9988978965719411E-2</v>
      </c>
      <c r="D2" s="30">
        <f ca="1">A2+C2</f>
        <v>9.95001102103428</v>
      </c>
      <c r="E2" s="30">
        <f ca="1">D2^4-16*D2^3+88*D2^2-190*D2+144</f>
        <v>1006.0252652119864</v>
      </c>
      <c r="F2" s="30">
        <f ca="1">RAND()</f>
        <v>0.17309089888427887</v>
      </c>
      <c r="G2" s="30">
        <v>0</v>
      </c>
      <c r="H2" s="30">
        <f>(0.95^G2)*1</f>
        <v>1</v>
      </c>
      <c r="I2" s="30">
        <f ca="1">E2-B2</f>
        <v>-37.97473478801362</v>
      </c>
      <c r="J2" s="30">
        <f ca="1">I2/H2</f>
        <v>-37.97473478801362</v>
      </c>
      <c r="K2" s="30">
        <f ca="1">IF(I2&lt;0,0,EXP(-J2))</f>
        <v>0</v>
      </c>
      <c r="L2" s="30">
        <f ca="1">IF(E2&lt;B2,D2,IF(F2&lt;K2,D2,A2))</f>
        <v>9.95001102103428</v>
      </c>
      <c r="M2" s="1">
        <f ca="1">L2^4-16*L2^3+88*L2^2-190*L2+144</f>
        <v>1006.0252652119864</v>
      </c>
    </row>
    <row r="3" spans="1:15" x14ac:dyDescent="0.4">
      <c r="A3" s="1">
        <f ca="1">L2</f>
        <v>9.95001102103428</v>
      </c>
      <c r="B3" s="30">
        <f ca="1">A3^4-16*A3^3+88*A3^2-190*A3+144</f>
        <v>1006.0252652119864</v>
      </c>
      <c r="C3" s="30">
        <f t="shared" ref="C3:C66" ca="1" si="0">2*(RAND()-0.5)</f>
        <v>-0.89828448536190231</v>
      </c>
      <c r="D3" s="30">
        <f ca="1">A3+C3</f>
        <v>9.0517265356723779</v>
      </c>
      <c r="E3" s="30">
        <f ca="1">D3^4-16*D3^3+88*D3^2-190*D3+144</f>
        <v>481.2113133367825</v>
      </c>
      <c r="F3" s="30">
        <f ca="1">RAND()</f>
        <v>0.58058241111403364</v>
      </c>
      <c r="G3" s="30">
        <v>1</v>
      </c>
      <c r="H3" s="30">
        <f t="shared" ref="H3:H66" si="1">0.99^G3</f>
        <v>0.99</v>
      </c>
      <c r="I3" s="30">
        <f t="shared" ref="I3:I66" ca="1" si="2">E3-B3</f>
        <v>-524.81395187520388</v>
      </c>
      <c r="J3" s="30">
        <f t="shared" ref="J3:J66" ca="1" si="3">I3/H3</f>
        <v>-530.11510290424633</v>
      </c>
      <c r="K3" s="30">
        <f t="shared" ref="K3:K66" ca="1" si="4">IF(I3&lt;0,0,EXP(-J3))</f>
        <v>0</v>
      </c>
      <c r="L3" s="30">
        <f t="shared" ref="L3:L66" ca="1" si="5">IF(E3&lt;B3,D3,IF(F3&lt;K3,D3,A3))</f>
        <v>9.0517265356723779</v>
      </c>
      <c r="M3" s="1">
        <f t="shared" ref="M3:M66" ca="1" si="6">L3^4-16*L3^3+88*L3^2-190*L3+144</f>
        <v>481.2113133367825</v>
      </c>
    </row>
    <row r="4" spans="1:15" ht="19.5" thickBot="1" x14ac:dyDescent="0.45">
      <c r="A4" s="1">
        <f t="shared" ref="A4:A58" ca="1" si="7">L3</f>
        <v>9.0517265356723779</v>
      </c>
      <c r="B4" s="30">
        <f t="shared" ref="B4:B67" ca="1" si="8">A4^4-16*A4^3+88*A4^2-190*A4+144</f>
        <v>481.2113133367825</v>
      </c>
      <c r="C4" s="30">
        <f t="shared" ca="1" si="0"/>
        <v>0.33569453439811547</v>
      </c>
      <c r="D4" s="30">
        <f t="shared" ref="D4:D58" ca="1" si="9">A4+C4</f>
        <v>9.3874210700704932</v>
      </c>
      <c r="E4" s="30">
        <f t="shared" ref="E4:E67" ca="1" si="10">D4^4-16*D4^3+88*D4^2-190*D4+144</f>
        <v>644.99072222336122</v>
      </c>
      <c r="F4" s="30">
        <f t="shared" ref="F4:F67" ca="1" si="11">RAND()</f>
        <v>0.88870864174486797</v>
      </c>
      <c r="G4" s="30">
        <v>2</v>
      </c>
      <c r="H4" s="30">
        <f t="shared" si="1"/>
        <v>0.98009999999999997</v>
      </c>
      <c r="I4" s="30">
        <f t="shared" ca="1" si="2"/>
        <v>163.77940888657872</v>
      </c>
      <c r="J4" s="30">
        <f t="shared" ca="1" si="3"/>
        <v>167.1047942930096</v>
      </c>
      <c r="K4" s="30">
        <f t="shared" ca="1" si="4"/>
        <v>2.6749147095405017E-73</v>
      </c>
      <c r="L4" s="30">
        <f t="shared" ca="1" si="5"/>
        <v>9.0517265356723779</v>
      </c>
      <c r="M4" s="1">
        <f t="shared" ca="1" si="6"/>
        <v>481.2113133367825</v>
      </c>
    </row>
    <row r="5" spans="1:15" ht="37.5" x14ac:dyDescent="0.4">
      <c r="A5" s="1">
        <f t="shared" ca="1" si="7"/>
        <v>9.0517265356723779</v>
      </c>
      <c r="B5" s="30">
        <f t="shared" ca="1" si="8"/>
        <v>481.2113133367825</v>
      </c>
      <c r="C5" s="30">
        <f t="shared" ca="1" si="0"/>
        <v>0.5599888960656243</v>
      </c>
      <c r="D5" s="30">
        <f t="shared" ca="1" si="9"/>
        <v>9.611715431738002</v>
      </c>
      <c r="E5" s="30">
        <f t="shared" ca="1" si="10"/>
        <v>774.99776045882822</v>
      </c>
      <c r="F5" s="30">
        <f t="shared" ca="1" si="11"/>
        <v>0.42937917793385594</v>
      </c>
      <c r="G5" s="30">
        <v>3</v>
      </c>
      <c r="H5" s="30">
        <f t="shared" si="1"/>
        <v>0.97029899999999991</v>
      </c>
      <c r="I5" s="30">
        <f t="shared" ca="1" si="2"/>
        <v>293.78644712204573</v>
      </c>
      <c r="J5" s="30">
        <f t="shared" ca="1" si="3"/>
        <v>302.77929496170333</v>
      </c>
      <c r="K5" s="30">
        <f t="shared" ca="1" si="4"/>
        <v>3.1961191670205218E-132</v>
      </c>
      <c r="L5" s="30">
        <f t="shared" ca="1" si="5"/>
        <v>9.0517265356723779</v>
      </c>
      <c r="M5" s="1">
        <f t="shared" ca="1" si="6"/>
        <v>481.2113133367825</v>
      </c>
      <c r="N5" s="10" t="s">
        <v>9</v>
      </c>
      <c r="O5" s="11" t="s">
        <v>8</v>
      </c>
    </row>
    <row r="6" spans="1:15" x14ac:dyDescent="0.4">
      <c r="A6" s="1">
        <f t="shared" ca="1" si="7"/>
        <v>9.0517265356723779</v>
      </c>
      <c r="B6" s="30">
        <f t="shared" ca="1" si="8"/>
        <v>481.2113133367825</v>
      </c>
      <c r="C6" s="30">
        <f t="shared" ca="1" si="0"/>
        <v>0.22789608591198895</v>
      </c>
      <c r="D6" s="30">
        <f t="shared" ca="1" si="9"/>
        <v>9.279622621584366</v>
      </c>
      <c r="E6" s="30">
        <f t="shared" ca="1" si="10"/>
        <v>588.54693809335504</v>
      </c>
      <c r="F6" s="30">
        <f t="shared" ca="1" si="11"/>
        <v>7.4473026710032197E-2</v>
      </c>
      <c r="G6" s="30">
        <v>4</v>
      </c>
      <c r="H6" s="30">
        <f t="shared" si="1"/>
        <v>0.96059600999999994</v>
      </c>
      <c r="I6" s="30">
        <f t="shared" ca="1" si="2"/>
        <v>107.33562475657254</v>
      </c>
      <c r="J6" s="30">
        <f t="shared" ca="1" si="3"/>
        <v>111.73857026178212</v>
      </c>
      <c r="K6" s="30">
        <f t="shared" ca="1" si="4"/>
        <v>2.9686262238898816E-49</v>
      </c>
      <c r="L6" s="30">
        <f t="shared" ca="1" si="5"/>
        <v>9.0517265356723779</v>
      </c>
      <c r="M6" s="1">
        <f t="shared" ca="1" si="6"/>
        <v>481.2113133367825</v>
      </c>
      <c r="N6" s="31" t="s">
        <v>11</v>
      </c>
      <c r="O6" s="32">
        <v>1.94</v>
      </c>
    </row>
    <row r="7" spans="1:15" x14ac:dyDescent="0.4">
      <c r="A7" s="1">
        <f t="shared" ca="1" si="7"/>
        <v>9.0517265356723779</v>
      </c>
      <c r="B7" s="30">
        <f t="shared" ca="1" si="8"/>
        <v>481.2113133367825</v>
      </c>
      <c r="C7" s="30">
        <f t="shared" ca="1" si="0"/>
        <v>0.6335989892178675</v>
      </c>
      <c r="D7" s="30">
        <f t="shared" ca="1" si="9"/>
        <v>9.6853255248902457</v>
      </c>
      <c r="E7" s="30">
        <f t="shared" ca="1" si="10"/>
        <v>821.55880660273215</v>
      </c>
      <c r="F7" s="30">
        <f t="shared" ca="1" si="11"/>
        <v>0.26208550060724833</v>
      </c>
      <c r="G7" s="30">
        <v>5</v>
      </c>
      <c r="H7" s="30">
        <f t="shared" si="1"/>
        <v>0.95099004989999991</v>
      </c>
      <c r="I7" s="30">
        <f t="shared" ca="1" si="2"/>
        <v>340.34749326594965</v>
      </c>
      <c r="J7" s="30">
        <f t="shared" ca="1" si="3"/>
        <v>357.88754393564733</v>
      </c>
      <c r="K7" s="30">
        <f t="shared" ca="1" si="4"/>
        <v>3.7274731761381606E-156</v>
      </c>
      <c r="L7" s="30">
        <f t="shared" ca="1" si="5"/>
        <v>9.0517265356723779</v>
      </c>
      <c r="M7" s="1">
        <f t="shared" ca="1" si="6"/>
        <v>481.2113133367825</v>
      </c>
      <c r="N7" s="31" t="s">
        <v>12</v>
      </c>
      <c r="O7" s="32">
        <v>1.94</v>
      </c>
    </row>
    <row r="8" spans="1:15" x14ac:dyDescent="0.4">
      <c r="A8" s="1">
        <f t="shared" ca="1" si="7"/>
        <v>9.0517265356723779</v>
      </c>
      <c r="B8" s="30">
        <f t="shared" ca="1" si="8"/>
        <v>481.2113133367825</v>
      </c>
      <c r="C8" s="30">
        <f t="shared" ca="1" si="0"/>
        <v>-0.28603628458378383</v>
      </c>
      <c r="D8" s="30">
        <f t="shared" ca="1" si="9"/>
        <v>8.7656902510885946</v>
      </c>
      <c r="E8" s="30">
        <f t="shared" ca="1" si="10"/>
        <v>367.66297331902615</v>
      </c>
      <c r="F8" s="30">
        <f t="shared" ca="1" si="11"/>
        <v>0.65122549820814357</v>
      </c>
      <c r="G8" s="30">
        <v>6</v>
      </c>
      <c r="H8" s="30">
        <f t="shared" si="1"/>
        <v>0.94148014940099989</v>
      </c>
      <c r="I8" s="30">
        <f t="shared" ca="1" si="2"/>
        <v>-113.54834001775635</v>
      </c>
      <c r="J8" s="30">
        <f t="shared" ca="1" si="3"/>
        <v>-120.60619662560009</v>
      </c>
      <c r="K8" s="30">
        <f t="shared" ca="1" si="4"/>
        <v>0</v>
      </c>
      <c r="L8" s="30">
        <f t="shared" ca="1" si="5"/>
        <v>8.7656902510885946</v>
      </c>
      <c r="M8" s="1">
        <f t="shared" ca="1" si="6"/>
        <v>367.66297331902615</v>
      </c>
      <c r="N8" s="31">
        <v>3</v>
      </c>
      <c r="O8" s="32">
        <v>1.94</v>
      </c>
    </row>
    <row r="9" spans="1:15" x14ac:dyDescent="0.4">
      <c r="A9" s="1">
        <f t="shared" ca="1" si="7"/>
        <v>8.7656902510885946</v>
      </c>
      <c r="B9" s="30">
        <f t="shared" ca="1" si="8"/>
        <v>367.66297331902615</v>
      </c>
      <c r="C9" s="30">
        <f t="shared" ca="1" si="0"/>
        <v>-0.51189391761797909</v>
      </c>
      <c r="D9" s="30">
        <f t="shared" ca="1" si="9"/>
        <v>8.2537963334706159</v>
      </c>
      <c r="E9" s="30">
        <f t="shared" ca="1" si="10"/>
        <v>215.17050743693108</v>
      </c>
      <c r="F9" s="30">
        <f t="shared" ca="1" si="11"/>
        <v>0.11618371902234359</v>
      </c>
      <c r="G9" s="30">
        <v>7</v>
      </c>
      <c r="H9" s="30">
        <f t="shared" si="1"/>
        <v>0.93206534790698992</v>
      </c>
      <c r="I9" s="30">
        <f t="shared" ca="1" si="2"/>
        <v>-152.49246588209508</v>
      </c>
      <c r="J9" s="30">
        <f t="shared" ca="1" si="3"/>
        <v>-163.60705418834237</v>
      </c>
      <c r="K9" s="30">
        <f t="shared" ca="1" si="4"/>
        <v>0</v>
      </c>
      <c r="L9" s="30">
        <f t="shared" ca="1" si="5"/>
        <v>8.2537963334706159</v>
      </c>
      <c r="M9" s="1">
        <f t="shared" ca="1" si="6"/>
        <v>215.17050743693108</v>
      </c>
      <c r="N9" s="31">
        <v>4</v>
      </c>
      <c r="O9" s="32">
        <v>1.94</v>
      </c>
    </row>
    <row r="10" spans="1:15" x14ac:dyDescent="0.4">
      <c r="A10" s="1">
        <f t="shared" ca="1" si="7"/>
        <v>8.2537963334706159</v>
      </c>
      <c r="B10" s="30">
        <f t="shared" ca="1" si="8"/>
        <v>215.17050743693108</v>
      </c>
      <c r="C10" s="30">
        <f t="shared" ca="1" si="0"/>
        <v>0.79175623236614134</v>
      </c>
      <c r="D10" s="30">
        <f t="shared" ca="1" si="9"/>
        <v>9.0455525658367577</v>
      </c>
      <c r="E10" s="30">
        <f t="shared" ca="1" si="10"/>
        <v>478.5197327015112</v>
      </c>
      <c r="F10" s="30">
        <f t="shared" ca="1" si="11"/>
        <v>0.46462683455197307</v>
      </c>
      <c r="G10" s="30">
        <v>8</v>
      </c>
      <c r="H10" s="30">
        <f t="shared" si="1"/>
        <v>0.92274469442791995</v>
      </c>
      <c r="I10" s="30">
        <f t="shared" ca="1" si="2"/>
        <v>263.34922526458013</v>
      </c>
      <c r="J10" s="30">
        <f t="shared" ca="1" si="3"/>
        <v>285.39771277455077</v>
      </c>
      <c r="K10" s="30">
        <f t="shared" ca="1" si="4"/>
        <v>1.1307020881242266E-124</v>
      </c>
      <c r="L10" s="30">
        <f t="shared" ca="1" si="5"/>
        <v>8.2537963334706159</v>
      </c>
      <c r="M10" s="1">
        <f t="shared" ca="1" si="6"/>
        <v>215.17050743693108</v>
      </c>
      <c r="N10" s="33">
        <v>5</v>
      </c>
      <c r="O10" s="34">
        <v>5.93</v>
      </c>
    </row>
    <row r="11" spans="1:15" x14ac:dyDescent="0.4">
      <c r="A11" s="1">
        <f t="shared" ca="1" si="7"/>
        <v>8.2537963334706159</v>
      </c>
      <c r="B11" s="30">
        <f t="shared" ca="1" si="8"/>
        <v>215.17050743693108</v>
      </c>
      <c r="C11" s="30">
        <f t="shared" ca="1" si="0"/>
        <v>0.21507277919190959</v>
      </c>
      <c r="D11" s="30">
        <f t="shared" ca="1" si="9"/>
        <v>8.4688691126625262</v>
      </c>
      <c r="E11" s="30">
        <f t="shared" ca="1" si="10"/>
        <v>272.00390805796451</v>
      </c>
      <c r="F11" s="30">
        <f t="shared" ca="1" si="11"/>
        <v>0.56061987329828322</v>
      </c>
      <c r="G11" s="30">
        <v>9</v>
      </c>
      <c r="H11" s="30">
        <f t="shared" si="1"/>
        <v>0.91351724748364072</v>
      </c>
      <c r="I11" s="30">
        <f t="shared" ca="1" si="2"/>
        <v>56.833400621033434</v>
      </c>
      <c r="J11" s="30">
        <f t="shared" ca="1" si="3"/>
        <v>62.21382330501779</v>
      </c>
      <c r="K11" s="30">
        <f t="shared" ca="1" si="4"/>
        <v>9.5692927395014395E-28</v>
      </c>
      <c r="L11" s="30">
        <f t="shared" ca="1" si="5"/>
        <v>8.2537963334706159</v>
      </c>
      <c r="M11" s="1">
        <f t="shared" ca="1" si="6"/>
        <v>215.17050743693108</v>
      </c>
      <c r="N11" s="33">
        <v>6</v>
      </c>
      <c r="O11" s="34">
        <v>5.93</v>
      </c>
    </row>
    <row r="12" spans="1:15" x14ac:dyDescent="0.4">
      <c r="A12" s="1">
        <f t="shared" ca="1" si="7"/>
        <v>8.2537963334706159</v>
      </c>
      <c r="B12" s="30">
        <f t="shared" ca="1" si="8"/>
        <v>215.17050743693108</v>
      </c>
      <c r="C12" s="30">
        <f t="shared" ca="1" si="0"/>
        <v>0.49928163444543827</v>
      </c>
      <c r="D12" s="30">
        <f t="shared" ca="1" si="9"/>
        <v>8.7530779679160542</v>
      </c>
      <c r="E12" s="30">
        <f t="shared" ca="1" si="10"/>
        <v>363.15933028565314</v>
      </c>
      <c r="F12" s="30">
        <f t="shared" ca="1" si="11"/>
        <v>0.43844703972169252</v>
      </c>
      <c r="G12" s="30">
        <v>10</v>
      </c>
      <c r="H12" s="30">
        <f t="shared" si="1"/>
        <v>0.9043820750088043</v>
      </c>
      <c r="I12" s="30">
        <f t="shared" ca="1" si="2"/>
        <v>147.98882284872207</v>
      </c>
      <c r="J12" s="30">
        <f t="shared" ca="1" si="3"/>
        <v>163.63528970571576</v>
      </c>
      <c r="K12" s="30">
        <f t="shared" ca="1" si="4"/>
        <v>8.5920468444765337E-72</v>
      </c>
      <c r="L12" s="30">
        <f t="shared" ca="1" si="5"/>
        <v>8.2537963334706159</v>
      </c>
      <c r="M12" s="1">
        <f t="shared" ca="1" si="6"/>
        <v>215.17050743693108</v>
      </c>
      <c r="N12" s="33">
        <v>7</v>
      </c>
      <c r="O12" s="34">
        <v>5.93</v>
      </c>
    </row>
    <row r="13" spans="1:15" x14ac:dyDescent="0.4">
      <c r="A13" s="1">
        <f t="shared" ca="1" si="7"/>
        <v>8.2537963334706159</v>
      </c>
      <c r="B13" s="30">
        <f t="shared" ca="1" si="8"/>
        <v>215.17050743693108</v>
      </c>
      <c r="C13" s="30">
        <f t="shared" ca="1" si="0"/>
        <v>-0.99088833582646063</v>
      </c>
      <c r="D13" s="30">
        <f t="shared" ca="1" si="9"/>
        <v>7.2629079976441551</v>
      </c>
      <c r="E13" s="30">
        <f t="shared" ca="1" si="10"/>
        <v>58.702690164286423</v>
      </c>
      <c r="F13" s="30">
        <f t="shared" ca="1" si="11"/>
        <v>0.64106054942680124</v>
      </c>
      <c r="G13" s="30">
        <v>11</v>
      </c>
      <c r="H13" s="30">
        <f t="shared" si="1"/>
        <v>0.89533825425871627</v>
      </c>
      <c r="I13" s="30">
        <f t="shared" ca="1" si="2"/>
        <v>-156.46781727264465</v>
      </c>
      <c r="J13" s="30">
        <f t="shared" ca="1" si="3"/>
        <v>-174.75832907663502</v>
      </c>
      <c r="K13" s="30">
        <f t="shared" ca="1" si="4"/>
        <v>0</v>
      </c>
      <c r="L13" s="30">
        <f t="shared" ca="1" si="5"/>
        <v>7.2629079976441551</v>
      </c>
      <c r="M13" s="1">
        <f t="shared" ca="1" si="6"/>
        <v>58.702690164286423</v>
      </c>
      <c r="N13" s="33">
        <v>8</v>
      </c>
      <c r="O13" s="34">
        <v>5.93</v>
      </c>
    </row>
    <row r="14" spans="1:15" x14ac:dyDescent="0.4">
      <c r="A14" s="1">
        <f t="shared" ca="1" si="7"/>
        <v>7.2629079976441551</v>
      </c>
      <c r="B14" s="30">
        <f t="shared" ca="1" si="8"/>
        <v>58.702690164286423</v>
      </c>
      <c r="C14" s="30">
        <f t="shared" ca="1" si="0"/>
        <v>0.89176736578171378</v>
      </c>
      <c r="D14" s="30">
        <f t="shared" ca="1" si="9"/>
        <v>8.1546753634258682</v>
      </c>
      <c r="E14" s="30">
        <f t="shared" ca="1" si="10"/>
        <v>192.17215448592015</v>
      </c>
      <c r="F14" s="30">
        <f t="shared" ca="1" si="11"/>
        <v>0.87591160996947859</v>
      </c>
      <c r="G14" s="30">
        <v>12</v>
      </c>
      <c r="H14" s="30">
        <f t="shared" si="1"/>
        <v>0.88638487171612912</v>
      </c>
      <c r="I14" s="30">
        <f t="shared" ca="1" si="2"/>
        <v>133.46946432163372</v>
      </c>
      <c r="J14" s="30">
        <f t="shared" ca="1" si="3"/>
        <v>150.57732659992672</v>
      </c>
      <c r="K14" s="30">
        <f t="shared" ca="1" si="4"/>
        <v>4.0280787998257556E-66</v>
      </c>
      <c r="L14" s="30">
        <f t="shared" ca="1" si="5"/>
        <v>7.2629079976441551</v>
      </c>
      <c r="M14" s="1">
        <f t="shared" ca="1" si="6"/>
        <v>58.702690164286423</v>
      </c>
      <c r="N14" s="33">
        <v>9</v>
      </c>
      <c r="O14" s="34">
        <v>5.93</v>
      </c>
    </row>
    <row r="15" spans="1:15" ht="19.5" thickBot="1" x14ac:dyDescent="0.45">
      <c r="A15" s="1">
        <f t="shared" ca="1" si="7"/>
        <v>7.2629079976441551</v>
      </c>
      <c r="B15" s="30">
        <f t="shared" ca="1" si="8"/>
        <v>58.702690164286423</v>
      </c>
      <c r="C15" s="30">
        <f t="shared" ca="1" si="0"/>
        <v>0.20794671551766997</v>
      </c>
      <c r="D15" s="30">
        <f t="shared" ca="1" si="9"/>
        <v>7.4708547131618248</v>
      </c>
      <c r="E15" s="30">
        <f t="shared" ca="1" si="10"/>
        <v>79.693221741791376</v>
      </c>
      <c r="F15" s="30">
        <f t="shared" ca="1" si="11"/>
        <v>0.35053790394316953</v>
      </c>
      <c r="G15" s="30">
        <v>13</v>
      </c>
      <c r="H15" s="30">
        <f t="shared" si="1"/>
        <v>0.87752102299896773</v>
      </c>
      <c r="I15" s="30">
        <f t="shared" ca="1" si="2"/>
        <v>20.990531577504953</v>
      </c>
      <c r="J15" s="30">
        <f t="shared" ca="1" si="3"/>
        <v>23.92026062893498</v>
      </c>
      <c r="K15" s="30">
        <f t="shared" ca="1" si="4"/>
        <v>4.0884887132191891E-11</v>
      </c>
      <c r="L15" s="30">
        <f t="shared" ca="1" si="5"/>
        <v>7.2629079976441551</v>
      </c>
      <c r="M15" s="1">
        <f t="shared" ca="1" si="6"/>
        <v>58.702690164286423</v>
      </c>
      <c r="N15" s="35">
        <v>10</v>
      </c>
      <c r="O15" s="36">
        <v>5.93</v>
      </c>
    </row>
    <row r="16" spans="1:15" x14ac:dyDescent="0.4">
      <c r="A16" s="1">
        <f t="shared" ca="1" si="7"/>
        <v>7.2629079976441551</v>
      </c>
      <c r="B16" s="30">
        <f t="shared" ca="1" si="8"/>
        <v>58.702690164286423</v>
      </c>
      <c r="C16" s="30">
        <f t="shared" ca="1" si="0"/>
        <v>0.98078714703915315</v>
      </c>
      <c r="D16" s="30">
        <f t="shared" ca="1" si="9"/>
        <v>8.2436951446833078</v>
      </c>
      <c r="E16" s="30">
        <f t="shared" ca="1" si="10"/>
        <v>212.73802783292308</v>
      </c>
      <c r="F16" s="30">
        <f t="shared" ca="1" si="11"/>
        <v>0.93969309543678514</v>
      </c>
      <c r="G16" s="30">
        <v>14</v>
      </c>
      <c r="H16" s="30">
        <f t="shared" si="1"/>
        <v>0.86874581276897811</v>
      </c>
      <c r="I16" s="30">
        <f t="shared" ca="1" si="2"/>
        <v>154.03533766863666</v>
      </c>
      <c r="J16" s="30">
        <f t="shared" ca="1" si="3"/>
        <v>177.30771809728265</v>
      </c>
      <c r="K16" s="30">
        <f t="shared" ca="1" si="4"/>
        <v>9.9137150425684025E-78</v>
      </c>
      <c r="L16" s="30">
        <f t="shared" ca="1" si="5"/>
        <v>7.2629079976441551</v>
      </c>
      <c r="M16" s="1">
        <f t="shared" ca="1" si="6"/>
        <v>58.702690164286423</v>
      </c>
    </row>
    <row r="17" spans="1:13" x14ac:dyDescent="0.4">
      <c r="A17" s="1">
        <f t="shared" ca="1" si="7"/>
        <v>7.2629079976441551</v>
      </c>
      <c r="B17" s="30">
        <f t="shared" ca="1" si="8"/>
        <v>58.702690164286423</v>
      </c>
      <c r="C17" s="30">
        <f t="shared" ca="1" si="0"/>
        <v>-0.62619960282054454</v>
      </c>
      <c r="D17" s="30">
        <f t="shared" ca="1" si="9"/>
        <v>6.6367083948236107</v>
      </c>
      <c r="E17" s="30">
        <f t="shared" ca="1" si="10"/>
        <v>21.989085607786365</v>
      </c>
      <c r="F17" s="30">
        <f t="shared" ca="1" si="11"/>
        <v>0.20044820293097165</v>
      </c>
      <c r="G17" s="30">
        <v>15</v>
      </c>
      <c r="H17" s="30">
        <f t="shared" si="1"/>
        <v>0.86005835464128833</v>
      </c>
      <c r="I17" s="30">
        <f t="shared" ca="1" si="2"/>
        <v>-36.713604556500059</v>
      </c>
      <c r="J17" s="30">
        <f t="shared" ca="1" si="3"/>
        <v>-42.687341339544929</v>
      </c>
      <c r="K17" s="30">
        <f t="shared" ca="1" si="4"/>
        <v>0</v>
      </c>
      <c r="L17" s="30">
        <f t="shared" ca="1" si="5"/>
        <v>6.6367083948236107</v>
      </c>
      <c r="M17" s="1">
        <f t="shared" ca="1" si="6"/>
        <v>21.989085607786365</v>
      </c>
    </row>
    <row r="18" spans="1:13" x14ac:dyDescent="0.4">
      <c r="A18" s="1">
        <f t="shared" ca="1" si="7"/>
        <v>6.6367083948236107</v>
      </c>
      <c r="B18" s="30">
        <f t="shared" ca="1" si="8"/>
        <v>21.989085607786365</v>
      </c>
      <c r="C18" s="30">
        <f ca="1">2*(RAND()-0.5)</f>
        <v>-0.11104832703156831</v>
      </c>
      <c r="D18" s="30">
        <f t="shared" ca="1" si="9"/>
        <v>6.5256600677920424</v>
      </c>
      <c r="E18" s="30">
        <f t="shared" ca="1" si="10"/>
        <v>18.71076500319441</v>
      </c>
      <c r="F18" s="30">
        <f t="shared" ca="1" si="11"/>
        <v>0.52458005375603078</v>
      </c>
      <c r="G18" s="30">
        <v>16</v>
      </c>
      <c r="H18" s="30">
        <f t="shared" si="1"/>
        <v>0.85145777109487542</v>
      </c>
      <c r="I18" s="30">
        <f t="shared" ca="1" si="2"/>
        <v>-3.2783206045919542</v>
      </c>
      <c r="J18" s="30">
        <f t="shared" ca="1" si="3"/>
        <v>-3.8502445052282699</v>
      </c>
      <c r="K18" s="30">
        <f t="shared" ca="1" si="4"/>
        <v>0</v>
      </c>
      <c r="L18" s="30">
        <f t="shared" ca="1" si="5"/>
        <v>6.5256600677920424</v>
      </c>
      <c r="M18" s="1">
        <f t="shared" ca="1" si="6"/>
        <v>18.71076500319441</v>
      </c>
    </row>
    <row r="19" spans="1:13" x14ac:dyDescent="0.4">
      <c r="A19" s="1">
        <f t="shared" ca="1" si="7"/>
        <v>6.5256600677920424</v>
      </c>
      <c r="B19" s="30">
        <f t="shared" ca="1" si="8"/>
        <v>18.71076500319441</v>
      </c>
      <c r="C19" s="30">
        <f t="shared" ca="1" si="0"/>
        <v>0.52011187072275766</v>
      </c>
      <c r="D19" s="30">
        <f t="shared" ca="1" si="9"/>
        <v>7.0457719385148003</v>
      </c>
      <c r="E19" s="30">
        <f t="shared" ca="1" si="10"/>
        <v>41.935388558763862</v>
      </c>
      <c r="F19" s="30">
        <f t="shared" ca="1" si="11"/>
        <v>0.30990206515520302</v>
      </c>
      <c r="G19" s="30">
        <v>17</v>
      </c>
      <c r="H19" s="30">
        <f t="shared" si="1"/>
        <v>0.84294319338392665</v>
      </c>
      <c r="I19" s="30">
        <f t="shared" ca="1" si="2"/>
        <v>23.224623555569451</v>
      </c>
      <c r="J19" s="30">
        <f t="shared" ca="1" si="3"/>
        <v>27.55182524499201</v>
      </c>
      <c r="K19" s="30">
        <f t="shared" ca="1" si="4"/>
        <v>1.0824163152053738E-12</v>
      </c>
      <c r="L19" s="30">
        <f t="shared" ca="1" si="5"/>
        <v>6.5256600677920424</v>
      </c>
      <c r="M19" s="1">
        <f t="shared" ca="1" si="6"/>
        <v>18.71076500319441</v>
      </c>
    </row>
    <row r="20" spans="1:13" x14ac:dyDescent="0.4">
      <c r="A20" s="1">
        <f t="shared" ca="1" si="7"/>
        <v>6.5256600677920424</v>
      </c>
      <c r="B20" s="30">
        <f t="shared" ca="1" si="8"/>
        <v>18.71076500319441</v>
      </c>
      <c r="C20" s="30">
        <f t="shared" ca="1" si="0"/>
        <v>0.70844078647931252</v>
      </c>
      <c r="D20" s="30">
        <f t="shared" ca="1" si="9"/>
        <v>7.2341008542713547</v>
      </c>
      <c r="E20" s="30">
        <f t="shared" ca="1" si="10"/>
        <v>56.192157754544951</v>
      </c>
      <c r="F20" s="30">
        <f t="shared" ca="1" si="11"/>
        <v>0.68654607825660585</v>
      </c>
      <c r="G20" s="30">
        <v>18</v>
      </c>
      <c r="H20" s="30">
        <f t="shared" si="1"/>
        <v>0.83451376145008738</v>
      </c>
      <c r="I20" s="30">
        <f t="shared" ca="1" si="2"/>
        <v>37.48139275135054</v>
      </c>
      <c r="J20" s="30">
        <f t="shared" ca="1" si="3"/>
        <v>44.914049932767128</v>
      </c>
      <c r="K20" s="30">
        <f t="shared" ca="1" si="4"/>
        <v>3.1194350980585421E-20</v>
      </c>
      <c r="L20" s="30">
        <f t="shared" ca="1" si="5"/>
        <v>6.5256600677920424</v>
      </c>
      <c r="M20" s="1">
        <f t="shared" ca="1" si="6"/>
        <v>18.71076500319441</v>
      </c>
    </row>
    <row r="21" spans="1:13" x14ac:dyDescent="0.4">
      <c r="A21" s="1">
        <f t="shared" ca="1" si="7"/>
        <v>6.5256600677920424</v>
      </c>
      <c r="B21" s="30">
        <f t="shared" ca="1" si="8"/>
        <v>18.71076500319441</v>
      </c>
      <c r="C21" s="30">
        <f t="shared" ca="1" si="0"/>
        <v>-0.37502383378715565</v>
      </c>
      <c r="D21" s="30">
        <f t="shared" ca="1" si="9"/>
        <v>6.150636234004887</v>
      </c>
      <c r="E21" s="30">
        <f t="shared" ca="1" si="10"/>
        <v>12.692192787573504</v>
      </c>
      <c r="F21" s="30">
        <f t="shared" ca="1" si="11"/>
        <v>2.9028953849479677E-2</v>
      </c>
      <c r="G21" s="30">
        <v>19</v>
      </c>
      <c r="H21" s="30">
        <f t="shared" si="1"/>
        <v>0.82616862383558642</v>
      </c>
      <c r="I21" s="30">
        <f t="shared" ca="1" si="2"/>
        <v>-6.0185722156209067</v>
      </c>
      <c r="J21" s="30">
        <f t="shared" ca="1" si="3"/>
        <v>-7.2849198601599836</v>
      </c>
      <c r="K21" s="30">
        <f t="shared" ca="1" si="4"/>
        <v>0</v>
      </c>
      <c r="L21" s="30">
        <f t="shared" ca="1" si="5"/>
        <v>6.150636234004887</v>
      </c>
      <c r="M21" s="1">
        <f t="shared" ca="1" si="6"/>
        <v>12.692192787573504</v>
      </c>
    </row>
    <row r="22" spans="1:13" x14ac:dyDescent="0.4">
      <c r="A22" s="1">
        <f t="shared" ca="1" si="7"/>
        <v>6.150636234004887</v>
      </c>
      <c r="B22" s="30">
        <f t="shared" ca="1" si="8"/>
        <v>12.692192787573504</v>
      </c>
      <c r="C22" s="30">
        <f t="shared" ca="1" si="0"/>
        <v>0.17667313454981493</v>
      </c>
      <c r="D22" s="30">
        <f t="shared" ca="1" si="9"/>
        <v>6.3273093685547019</v>
      </c>
      <c r="E22" s="30">
        <f t="shared" ca="1" si="10"/>
        <v>14.660719589392329</v>
      </c>
      <c r="F22" s="30">
        <f t="shared" ca="1" si="11"/>
        <v>0.77653634315156184</v>
      </c>
      <c r="G22" s="30">
        <v>20</v>
      </c>
      <c r="H22" s="30">
        <f t="shared" si="1"/>
        <v>0.81790693759723065</v>
      </c>
      <c r="I22" s="30">
        <f t="shared" ca="1" si="2"/>
        <v>1.9685268018188253</v>
      </c>
      <c r="J22" s="30">
        <f t="shared" ca="1" si="3"/>
        <v>2.4067857983963021</v>
      </c>
      <c r="K22" s="30">
        <f t="shared" ca="1" si="4"/>
        <v>9.0104443478602331E-2</v>
      </c>
      <c r="L22" s="30">
        <f t="shared" ca="1" si="5"/>
        <v>6.150636234004887</v>
      </c>
      <c r="M22" s="1">
        <f t="shared" ca="1" si="6"/>
        <v>12.692192787573504</v>
      </c>
    </row>
    <row r="23" spans="1:13" x14ac:dyDescent="0.4">
      <c r="A23" s="1">
        <f t="shared" ca="1" si="7"/>
        <v>6.150636234004887</v>
      </c>
      <c r="B23" s="30">
        <f t="shared" ca="1" si="8"/>
        <v>12.692192787573504</v>
      </c>
      <c r="C23" s="30">
        <f t="shared" ca="1" si="0"/>
        <v>-3.838537099232564E-2</v>
      </c>
      <c r="D23" s="30">
        <f t="shared" ca="1" si="9"/>
        <v>6.1122508630125614</v>
      </c>
      <c r="E23" s="30">
        <f t="shared" ca="1" si="10"/>
        <v>12.437579709539477</v>
      </c>
      <c r="F23" s="30">
        <f t="shared" ca="1" si="11"/>
        <v>0.21863863468140887</v>
      </c>
      <c r="G23" s="30">
        <v>21</v>
      </c>
      <c r="H23" s="30">
        <f t="shared" si="1"/>
        <v>0.80972786822125831</v>
      </c>
      <c r="I23" s="30">
        <f t="shared" ca="1" si="2"/>
        <v>-0.25461307803402633</v>
      </c>
      <c r="J23" s="30">
        <f t="shared" ca="1" si="3"/>
        <v>-0.31444277519228625</v>
      </c>
      <c r="K23" s="30">
        <f t="shared" ca="1" si="4"/>
        <v>0</v>
      </c>
      <c r="L23" s="30">
        <f t="shared" ca="1" si="5"/>
        <v>6.1122508630125614</v>
      </c>
      <c r="M23" s="1">
        <f t="shared" ca="1" si="6"/>
        <v>12.437579709539477</v>
      </c>
    </row>
    <row r="24" spans="1:13" x14ac:dyDescent="0.4">
      <c r="A24" s="1">
        <f t="shared" ca="1" si="7"/>
        <v>6.1122508630125614</v>
      </c>
      <c r="B24" s="30">
        <f t="shared" ca="1" si="8"/>
        <v>12.437579709539477</v>
      </c>
      <c r="C24" s="30">
        <f t="shared" ca="1" si="0"/>
        <v>-0.5976636176650707</v>
      </c>
      <c r="D24" s="30">
        <f t="shared" ca="1" si="9"/>
        <v>5.5145872453474905</v>
      </c>
      <c r="E24" s="30">
        <f t="shared" ca="1" si="10"/>
        <v>13.939697416243689</v>
      </c>
      <c r="F24" s="30">
        <f t="shared" ca="1" si="11"/>
        <v>1.0261577951721224E-3</v>
      </c>
      <c r="G24" s="30">
        <v>22</v>
      </c>
      <c r="H24" s="30">
        <f t="shared" si="1"/>
        <v>0.80163058953904565</v>
      </c>
      <c r="I24" s="30">
        <f t="shared" ca="1" si="2"/>
        <v>1.5021177067042117</v>
      </c>
      <c r="J24" s="30">
        <f t="shared" ca="1" si="3"/>
        <v>1.8738278283117424</v>
      </c>
      <c r="K24" s="30">
        <f t="shared" ca="1" si="4"/>
        <v>0.15353483059031861</v>
      </c>
      <c r="L24" s="30">
        <f t="shared" ca="1" si="5"/>
        <v>5.5145872453474905</v>
      </c>
      <c r="M24" s="1">
        <f t="shared" ca="1" si="6"/>
        <v>13.939697416243689</v>
      </c>
    </row>
    <row r="25" spans="1:13" x14ac:dyDescent="0.4">
      <c r="A25" s="1">
        <f t="shared" ca="1" si="7"/>
        <v>5.5145872453474905</v>
      </c>
      <c r="B25" s="30">
        <f t="shared" ca="1" si="8"/>
        <v>13.939697416243689</v>
      </c>
      <c r="C25" s="30">
        <f t="shared" ca="1" si="0"/>
        <v>0.76997441451441206</v>
      </c>
      <c r="D25" s="30">
        <f t="shared" ca="1" si="9"/>
        <v>6.2845616598619021</v>
      </c>
      <c r="E25" s="30">
        <f t="shared" ca="1" si="10"/>
        <v>14.055625550657169</v>
      </c>
      <c r="F25" s="30">
        <f t="shared" ca="1" si="11"/>
        <v>0.18842916408379973</v>
      </c>
      <c r="G25" s="30">
        <v>23</v>
      </c>
      <c r="H25" s="30">
        <f t="shared" si="1"/>
        <v>0.79361428364365527</v>
      </c>
      <c r="I25" s="30">
        <f t="shared" ca="1" si="2"/>
        <v>0.11592813441347971</v>
      </c>
      <c r="J25" s="30">
        <f t="shared" ca="1" si="3"/>
        <v>0.14607616924588165</v>
      </c>
      <c r="K25" s="30">
        <f t="shared" ca="1" si="4"/>
        <v>0.86409188345081989</v>
      </c>
      <c r="L25" s="30">
        <f t="shared" ca="1" si="5"/>
        <v>6.2845616598619021</v>
      </c>
      <c r="M25" s="1">
        <f t="shared" ca="1" si="6"/>
        <v>14.055625550657169</v>
      </c>
    </row>
    <row r="26" spans="1:13" x14ac:dyDescent="0.4">
      <c r="A26" s="1">
        <f t="shared" ca="1" si="7"/>
        <v>6.2845616598619021</v>
      </c>
      <c r="B26" s="30">
        <f t="shared" ca="1" si="8"/>
        <v>14.055625550657169</v>
      </c>
      <c r="C26" s="30">
        <f t="shared" ca="1" si="0"/>
        <v>-0.28542589559223175</v>
      </c>
      <c r="D26" s="30">
        <f t="shared" ca="1" si="9"/>
        <v>5.9991357642696705</v>
      </c>
      <c r="E26" s="30">
        <f t="shared" ca="1" si="10"/>
        <v>11.99828347383027</v>
      </c>
      <c r="F26" s="30">
        <f t="shared" ca="1" si="11"/>
        <v>8.7857416525405907E-2</v>
      </c>
      <c r="G26" s="30">
        <v>24</v>
      </c>
      <c r="H26" s="30">
        <f t="shared" si="1"/>
        <v>0.78567814080721865</v>
      </c>
      <c r="I26" s="30">
        <f t="shared" ca="1" si="2"/>
        <v>-2.0573420768268988</v>
      </c>
      <c r="J26" s="30">
        <f t="shared" ca="1" si="3"/>
        <v>-2.6185558309069816</v>
      </c>
      <c r="K26" s="30">
        <f t="shared" ca="1" si="4"/>
        <v>0</v>
      </c>
      <c r="L26" s="30">
        <f t="shared" ca="1" si="5"/>
        <v>5.9991357642696705</v>
      </c>
      <c r="M26" s="1">
        <f t="shared" ca="1" si="6"/>
        <v>11.99828347383027</v>
      </c>
    </row>
    <row r="27" spans="1:13" x14ac:dyDescent="0.4">
      <c r="A27" s="1">
        <f t="shared" ca="1" si="7"/>
        <v>5.9991357642696705</v>
      </c>
      <c r="B27" s="30">
        <f t="shared" ca="1" si="8"/>
        <v>11.99828347383027</v>
      </c>
      <c r="C27" s="30">
        <f t="shared" ca="1" si="0"/>
        <v>0.21318825376083761</v>
      </c>
      <c r="D27" s="30">
        <f t="shared" ca="1" si="9"/>
        <v>6.2123240180305084</v>
      </c>
      <c r="E27" s="30">
        <f t="shared" ca="1" si="10"/>
        <v>13.224559257242845</v>
      </c>
      <c r="F27" s="30">
        <f t="shared" ca="1" si="11"/>
        <v>0.13633428273001025</v>
      </c>
      <c r="G27" s="30">
        <v>25</v>
      </c>
      <c r="H27" s="30">
        <f t="shared" si="1"/>
        <v>0.77782135939914643</v>
      </c>
      <c r="I27" s="30">
        <f t="shared" ca="1" si="2"/>
        <v>1.226275783412575</v>
      </c>
      <c r="J27" s="30">
        <f t="shared" ca="1" si="3"/>
        <v>1.5765519532143626</v>
      </c>
      <c r="K27" s="30">
        <f t="shared" ca="1" si="4"/>
        <v>0.20668653581038635</v>
      </c>
      <c r="L27" s="30">
        <f t="shared" ca="1" si="5"/>
        <v>6.2123240180305084</v>
      </c>
      <c r="M27" s="1">
        <f t="shared" ca="1" si="6"/>
        <v>13.224559257242845</v>
      </c>
    </row>
    <row r="28" spans="1:13" x14ac:dyDescent="0.4">
      <c r="A28" s="1">
        <f t="shared" ca="1" si="7"/>
        <v>6.2123240180305084</v>
      </c>
      <c r="B28" s="30">
        <f t="shared" ca="1" si="8"/>
        <v>13.224559257242845</v>
      </c>
      <c r="C28" s="30">
        <f t="shared" ca="1" si="0"/>
        <v>-1.4345161628853242E-2</v>
      </c>
      <c r="D28" s="30">
        <f t="shared" ca="1" si="9"/>
        <v>6.1979788564016554</v>
      </c>
      <c r="E28" s="30">
        <f t="shared" ca="1" si="10"/>
        <v>13.086703295535926</v>
      </c>
      <c r="F28" s="30">
        <f t="shared" ca="1" si="11"/>
        <v>0.94441364849805476</v>
      </c>
      <c r="G28" s="30">
        <v>26</v>
      </c>
      <c r="H28" s="30">
        <f t="shared" si="1"/>
        <v>0.77004314580515498</v>
      </c>
      <c r="I28" s="30">
        <f t="shared" ca="1" si="2"/>
        <v>-0.13785596170691861</v>
      </c>
      <c r="J28" s="30">
        <f t="shared" ca="1" si="3"/>
        <v>-0.17902368517646736</v>
      </c>
      <c r="K28" s="30">
        <f t="shared" ca="1" si="4"/>
        <v>0</v>
      </c>
      <c r="L28" s="30">
        <f t="shared" ca="1" si="5"/>
        <v>6.1979788564016554</v>
      </c>
      <c r="M28" s="1">
        <f t="shared" ca="1" si="6"/>
        <v>13.086703295535926</v>
      </c>
    </row>
    <row r="29" spans="1:13" x14ac:dyDescent="0.4">
      <c r="A29" s="1">
        <f t="shared" ca="1" si="7"/>
        <v>6.1979788564016554</v>
      </c>
      <c r="B29" s="30">
        <f t="shared" ca="1" si="8"/>
        <v>13.086703295535926</v>
      </c>
      <c r="C29" s="30">
        <f t="shared" ca="1" si="0"/>
        <v>2.0849600603449758E-3</v>
      </c>
      <c r="D29" s="30">
        <f t="shared" ca="1" si="9"/>
        <v>6.2000638164620003</v>
      </c>
      <c r="E29" s="30">
        <f t="shared" ca="1" si="10"/>
        <v>13.106199449899577</v>
      </c>
      <c r="F29" s="30">
        <f t="shared" ca="1" si="11"/>
        <v>0.38093717145326811</v>
      </c>
      <c r="G29" s="30">
        <v>27</v>
      </c>
      <c r="H29" s="30">
        <f t="shared" si="1"/>
        <v>0.76234271434710343</v>
      </c>
      <c r="I29" s="30">
        <f t="shared" ca="1" si="2"/>
        <v>1.949615436365093E-2</v>
      </c>
      <c r="J29" s="30">
        <f t="shared" ca="1" si="3"/>
        <v>2.55740023440089E-2</v>
      </c>
      <c r="K29" s="30">
        <f t="shared" ca="1" si="4"/>
        <v>0.97475024249387221</v>
      </c>
      <c r="L29" s="30">
        <f t="shared" ca="1" si="5"/>
        <v>6.2000638164620003</v>
      </c>
      <c r="M29" s="1">
        <f t="shared" ca="1" si="6"/>
        <v>13.106199449899577</v>
      </c>
    </row>
    <row r="30" spans="1:13" x14ac:dyDescent="0.4">
      <c r="A30" s="1">
        <f t="shared" ca="1" si="7"/>
        <v>6.2000638164620003</v>
      </c>
      <c r="B30" s="30">
        <f t="shared" ca="1" si="8"/>
        <v>13.106199449899577</v>
      </c>
      <c r="C30" s="30">
        <f t="shared" ca="1" si="0"/>
        <v>0.22298696472639667</v>
      </c>
      <c r="D30" s="30">
        <f t="shared" ca="1" si="9"/>
        <v>6.4230507811883975</v>
      </c>
      <c r="E30" s="30">
        <f t="shared" ca="1" si="10"/>
        <v>16.347397773143257</v>
      </c>
      <c r="F30" s="30">
        <f t="shared" ca="1" si="11"/>
        <v>0.34816750031682764</v>
      </c>
      <c r="G30" s="30">
        <v>28</v>
      </c>
      <c r="H30" s="30">
        <f t="shared" si="1"/>
        <v>0.75471928720363235</v>
      </c>
      <c r="I30" s="30">
        <f t="shared" ca="1" si="2"/>
        <v>3.2411983232436796</v>
      </c>
      <c r="J30" s="30">
        <f t="shared" ca="1" si="3"/>
        <v>4.2945746560325615</v>
      </c>
      <c r="K30" s="30">
        <f t="shared" ca="1" si="4"/>
        <v>1.3642373164511664E-2</v>
      </c>
      <c r="L30" s="30">
        <f t="shared" ca="1" si="5"/>
        <v>6.2000638164620003</v>
      </c>
      <c r="M30" s="1">
        <f t="shared" ca="1" si="6"/>
        <v>13.106199449899577</v>
      </c>
    </row>
    <row r="31" spans="1:13" x14ac:dyDescent="0.4">
      <c r="A31" s="1">
        <f t="shared" ca="1" si="7"/>
        <v>6.2000638164620003</v>
      </c>
      <c r="B31" s="30">
        <f t="shared" ca="1" si="8"/>
        <v>13.106199449899577</v>
      </c>
      <c r="C31" s="30">
        <f t="shared" ca="1" si="0"/>
        <v>0.57781045447669488</v>
      </c>
      <c r="D31" s="30">
        <f t="shared" ca="1" si="9"/>
        <v>6.7778742709386952</v>
      </c>
      <c r="E31" s="30">
        <f t="shared" ca="1" si="10"/>
        <v>27.368756061591284</v>
      </c>
      <c r="F31" s="30">
        <f t="shared" ca="1" si="11"/>
        <v>0.86584667854419328</v>
      </c>
      <c r="G31" s="30">
        <v>29</v>
      </c>
      <c r="H31" s="30">
        <f t="shared" si="1"/>
        <v>0.74717209433159593</v>
      </c>
      <c r="I31" s="30">
        <f t="shared" ca="1" si="2"/>
        <v>14.262556611691707</v>
      </c>
      <c r="J31" s="30">
        <f t="shared" ca="1" si="3"/>
        <v>19.088716936692723</v>
      </c>
      <c r="K31" s="30">
        <f t="shared" ca="1" si="4"/>
        <v>5.1271446216467367E-9</v>
      </c>
      <c r="L31" s="30">
        <f t="shared" ca="1" si="5"/>
        <v>6.2000638164620003</v>
      </c>
      <c r="M31" s="1">
        <f t="shared" ca="1" si="6"/>
        <v>13.106199449899577</v>
      </c>
    </row>
    <row r="32" spans="1:13" x14ac:dyDescent="0.4">
      <c r="A32" s="1">
        <f t="shared" ca="1" si="7"/>
        <v>6.2000638164620003</v>
      </c>
      <c r="B32" s="30">
        <f t="shared" ca="1" si="8"/>
        <v>13.106199449899577</v>
      </c>
      <c r="C32" s="30">
        <f t="shared" ca="1" si="0"/>
        <v>-0.6686265778144953</v>
      </c>
      <c r="D32" s="30">
        <f t="shared" ca="1" si="9"/>
        <v>5.5314372386475048</v>
      </c>
      <c r="E32" s="30">
        <f t="shared" ca="1" si="10"/>
        <v>13.800906514621602</v>
      </c>
      <c r="F32" s="30">
        <f t="shared" ca="1" si="11"/>
        <v>0.3566240363588753</v>
      </c>
      <c r="G32" s="30">
        <v>30</v>
      </c>
      <c r="H32" s="30">
        <f t="shared" si="1"/>
        <v>0.7397003733882801</v>
      </c>
      <c r="I32" s="30">
        <f t="shared" ca="1" si="2"/>
        <v>0.69470706472202437</v>
      </c>
      <c r="J32" s="30">
        <f t="shared" ca="1" si="3"/>
        <v>0.93917360287360829</v>
      </c>
      <c r="K32" s="30">
        <f t="shared" ca="1" si="4"/>
        <v>0.39095078250206644</v>
      </c>
      <c r="L32" s="30">
        <f t="shared" ca="1" si="5"/>
        <v>5.5314372386475048</v>
      </c>
      <c r="M32" s="1">
        <f t="shared" ca="1" si="6"/>
        <v>13.800906514621602</v>
      </c>
    </row>
    <row r="33" spans="1:13" x14ac:dyDescent="0.4">
      <c r="A33" s="1">
        <f t="shared" ca="1" si="7"/>
        <v>5.5314372386475048</v>
      </c>
      <c r="B33" s="30">
        <f t="shared" ca="1" si="8"/>
        <v>13.800906514621602</v>
      </c>
      <c r="C33" s="30">
        <f t="shared" ca="1" si="0"/>
        <v>0.21438191546745355</v>
      </c>
      <c r="D33" s="30">
        <f t="shared" ca="1" si="9"/>
        <v>5.7458191541149581</v>
      </c>
      <c r="E33" s="30">
        <f t="shared" ca="1" si="10"/>
        <v>12.398162197628608</v>
      </c>
      <c r="F33" s="30">
        <f t="shared" ca="1" si="11"/>
        <v>5.808573918106541E-2</v>
      </c>
      <c r="G33" s="30">
        <v>31</v>
      </c>
      <c r="H33" s="30">
        <f t="shared" si="1"/>
        <v>0.73230336965439724</v>
      </c>
      <c r="I33" s="30">
        <f t="shared" ca="1" si="2"/>
        <v>-1.4027443169929938</v>
      </c>
      <c r="J33" s="30">
        <f t="shared" ca="1" si="3"/>
        <v>-1.9155235044937784</v>
      </c>
      <c r="K33" s="30">
        <f t="shared" ca="1" si="4"/>
        <v>0</v>
      </c>
      <c r="L33" s="30">
        <f t="shared" ca="1" si="5"/>
        <v>5.7458191541149581</v>
      </c>
      <c r="M33" s="1">
        <f t="shared" ca="1" si="6"/>
        <v>12.398162197628608</v>
      </c>
    </row>
    <row r="34" spans="1:13" x14ac:dyDescent="0.4">
      <c r="A34" s="1">
        <f t="shared" ca="1" si="7"/>
        <v>5.7458191541149581</v>
      </c>
      <c r="B34" s="30">
        <f t="shared" ca="1" si="8"/>
        <v>12.398162197628608</v>
      </c>
      <c r="C34" s="30">
        <f t="shared" ca="1" si="0"/>
        <v>-0.51726675647251286</v>
      </c>
      <c r="D34" s="30">
        <f t="shared" ca="1" si="9"/>
        <v>5.2285523976424457</v>
      </c>
      <c r="E34" s="30">
        <f t="shared" ca="1" si="10"/>
        <v>16.660487080683993</v>
      </c>
      <c r="F34" s="30">
        <f t="shared" ca="1" si="11"/>
        <v>0.27253715902506437</v>
      </c>
      <c r="G34" s="30">
        <v>32</v>
      </c>
      <c r="H34" s="30">
        <f t="shared" si="1"/>
        <v>0.72498033595785327</v>
      </c>
      <c r="I34" s="30">
        <f t="shared" ca="1" si="2"/>
        <v>4.2623248830553848</v>
      </c>
      <c r="J34" s="30">
        <f t="shared" ca="1" si="3"/>
        <v>5.8792282654452235</v>
      </c>
      <c r="K34" s="30">
        <f t="shared" ca="1" si="4"/>
        <v>2.7969429398719378E-3</v>
      </c>
      <c r="L34" s="30">
        <f t="shared" ca="1" si="5"/>
        <v>5.7458191541149581</v>
      </c>
      <c r="M34" s="1">
        <f t="shared" ca="1" si="6"/>
        <v>12.398162197628608</v>
      </c>
    </row>
    <row r="35" spans="1:13" x14ac:dyDescent="0.4">
      <c r="A35" s="1">
        <f t="shared" ca="1" si="7"/>
        <v>5.7458191541149581</v>
      </c>
      <c r="B35" s="30">
        <f t="shared" ca="1" si="8"/>
        <v>12.398162197628608</v>
      </c>
      <c r="C35" s="30">
        <f t="shared" ca="1" si="0"/>
        <v>-0.84324888055887914</v>
      </c>
      <c r="D35" s="30">
        <f t="shared" ca="1" si="9"/>
        <v>4.902570273556079</v>
      </c>
      <c r="E35" s="30">
        <f t="shared" ca="1" si="10"/>
        <v>19.951702842964437</v>
      </c>
      <c r="F35" s="30">
        <f t="shared" ca="1" si="11"/>
        <v>0.76906834323613271</v>
      </c>
      <c r="G35" s="30">
        <v>33</v>
      </c>
      <c r="H35" s="30">
        <f t="shared" si="1"/>
        <v>0.71773053259827468</v>
      </c>
      <c r="I35" s="30">
        <f t="shared" ca="1" si="2"/>
        <v>7.5535406453358291</v>
      </c>
      <c r="J35" s="30">
        <f t="shared" ca="1" si="3"/>
        <v>10.524201357285252</v>
      </c>
      <c r="K35" s="30">
        <f t="shared" ca="1" si="4"/>
        <v>2.6878029365686483E-5</v>
      </c>
      <c r="L35" s="30">
        <f t="shared" ca="1" si="5"/>
        <v>5.7458191541149581</v>
      </c>
      <c r="M35" s="1">
        <f t="shared" ca="1" si="6"/>
        <v>12.398162197628608</v>
      </c>
    </row>
    <row r="36" spans="1:13" x14ac:dyDescent="0.4">
      <c r="A36" s="1">
        <f t="shared" ca="1" si="7"/>
        <v>5.7458191541149581</v>
      </c>
      <c r="B36" s="30">
        <f t="shared" ca="1" si="8"/>
        <v>12.398162197628608</v>
      </c>
      <c r="C36" s="30">
        <f t="shared" ca="1" si="0"/>
        <v>0.22430365686563669</v>
      </c>
      <c r="D36" s="30">
        <f t="shared" ca="1" si="9"/>
        <v>5.9701228109805946</v>
      </c>
      <c r="E36" s="30">
        <f t="shared" ca="1" si="10"/>
        <v>11.954315403430883</v>
      </c>
      <c r="F36" s="30">
        <f t="shared" ca="1" si="11"/>
        <v>0.59517089387252398</v>
      </c>
      <c r="G36" s="30">
        <v>34</v>
      </c>
      <c r="H36" s="30">
        <f t="shared" si="1"/>
        <v>0.71055322727229198</v>
      </c>
      <c r="I36" s="30">
        <f t="shared" ca="1" si="2"/>
        <v>-0.4438467941977251</v>
      </c>
      <c r="J36" s="30">
        <f t="shared" ca="1" si="3"/>
        <v>-0.62464960704152572</v>
      </c>
      <c r="K36" s="30">
        <f t="shared" ca="1" si="4"/>
        <v>0</v>
      </c>
      <c r="L36" s="30">
        <f t="shared" ca="1" si="5"/>
        <v>5.9701228109805946</v>
      </c>
      <c r="M36" s="1">
        <f t="shared" ca="1" si="6"/>
        <v>11.954315403430883</v>
      </c>
    </row>
    <row r="37" spans="1:13" x14ac:dyDescent="0.4">
      <c r="A37" s="1">
        <f t="shared" ca="1" si="7"/>
        <v>5.9701228109805946</v>
      </c>
      <c r="B37" s="30">
        <f t="shared" ca="1" si="8"/>
        <v>11.954315403430883</v>
      </c>
      <c r="C37" s="30">
        <f t="shared" ca="1" si="0"/>
        <v>0.14077945175427509</v>
      </c>
      <c r="D37" s="30">
        <f t="shared" ca="1" si="9"/>
        <v>6.1109022627348697</v>
      </c>
      <c r="E37" s="30">
        <f t="shared" ca="1" si="10"/>
        <v>12.429656960758166</v>
      </c>
      <c r="F37" s="30">
        <f t="shared" ca="1" si="11"/>
        <v>0.82138804647502828</v>
      </c>
      <c r="G37" s="30">
        <v>35</v>
      </c>
      <c r="H37" s="30">
        <f t="shared" si="1"/>
        <v>0.70344769499956905</v>
      </c>
      <c r="I37" s="30">
        <f t="shared" ca="1" si="2"/>
        <v>0.47534155732728323</v>
      </c>
      <c r="J37" s="30">
        <f t="shared" ca="1" si="3"/>
        <v>0.67573120319567526</v>
      </c>
      <c r="K37" s="30">
        <f t="shared" ca="1" si="4"/>
        <v>0.50878425988483877</v>
      </c>
      <c r="L37" s="30">
        <f t="shared" ca="1" si="5"/>
        <v>5.9701228109805946</v>
      </c>
      <c r="M37" s="1">
        <f t="shared" ca="1" si="6"/>
        <v>11.954315403430883</v>
      </c>
    </row>
    <row r="38" spans="1:13" x14ac:dyDescent="0.4">
      <c r="A38" s="1">
        <f t="shared" ca="1" si="7"/>
        <v>5.9701228109805946</v>
      </c>
      <c r="B38" s="30">
        <f t="shared" ca="1" si="8"/>
        <v>11.954315403430883</v>
      </c>
      <c r="C38" s="30">
        <f t="shared" ca="1" si="0"/>
        <v>-0.47827241179423874</v>
      </c>
      <c r="D38" s="30">
        <f t="shared" ca="1" si="9"/>
        <v>5.4918503991863563</v>
      </c>
      <c r="E38" s="30">
        <f t="shared" ca="1" si="10"/>
        <v>14.132133651707818</v>
      </c>
      <c r="F38" s="30">
        <f t="shared" ca="1" si="11"/>
        <v>0.42075264544905588</v>
      </c>
      <c r="G38" s="30">
        <v>36</v>
      </c>
      <c r="H38" s="30">
        <f t="shared" si="1"/>
        <v>0.69641321804957335</v>
      </c>
      <c r="I38" s="30">
        <f t="shared" ca="1" si="2"/>
        <v>2.1778182482769353</v>
      </c>
      <c r="J38" s="30">
        <f t="shared" ca="1" si="3"/>
        <v>3.1271925802561515</v>
      </c>
      <c r="K38" s="30">
        <f t="shared" ca="1" si="4"/>
        <v>4.3840703904471083E-2</v>
      </c>
      <c r="L38" s="30">
        <f t="shared" ca="1" si="5"/>
        <v>5.9701228109805946</v>
      </c>
      <c r="M38" s="1">
        <f t="shared" ca="1" si="6"/>
        <v>11.954315403430883</v>
      </c>
    </row>
    <row r="39" spans="1:13" x14ac:dyDescent="0.4">
      <c r="A39" s="1">
        <f t="shared" ca="1" si="7"/>
        <v>5.9701228109805946</v>
      </c>
      <c r="B39" s="30">
        <f t="shared" ca="1" si="8"/>
        <v>11.954315403430883</v>
      </c>
      <c r="C39" s="30">
        <f t="shared" ca="1" si="0"/>
        <v>-0.56277615493210242</v>
      </c>
      <c r="D39" s="30">
        <f t="shared" ca="1" si="9"/>
        <v>5.4073466560484924</v>
      </c>
      <c r="E39" s="30">
        <f t="shared" ca="1" si="10"/>
        <v>14.892570276660081</v>
      </c>
      <c r="F39" s="30">
        <f t="shared" ca="1" si="11"/>
        <v>0.43730804598636241</v>
      </c>
      <c r="G39" s="30">
        <v>37</v>
      </c>
      <c r="H39" s="30">
        <f t="shared" si="1"/>
        <v>0.6894490858690776</v>
      </c>
      <c r="I39" s="30">
        <f t="shared" ca="1" si="2"/>
        <v>2.938254873229198</v>
      </c>
      <c r="J39" s="30">
        <f t="shared" ca="1" si="3"/>
        <v>4.261743083646869</v>
      </c>
      <c r="K39" s="30">
        <f t="shared" ca="1" si="4"/>
        <v>1.4097707497499003E-2</v>
      </c>
      <c r="L39" s="30">
        <f t="shared" ca="1" si="5"/>
        <v>5.9701228109805946</v>
      </c>
      <c r="M39" s="1">
        <f t="shared" ca="1" si="6"/>
        <v>11.954315403430883</v>
      </c>
    </row>
    <row r="40" spans="1:13" x14ac:dyDescent="0.4">
      <c r="A40" s="1">
        <f t="shared" ca="1" si="7"/>
        <v>5.9701228109805946</v>
      </c>
      <c r="B40" s="30">
        <f t="shared" ca="1" si="8"/>
        <v>11.954315403430883</v>
      </c>
      <c r="C40" s="30">
        <f t="shared" ca="1" si="0"/>
        <v>0.43791078266117345</v>
      </c>
      <c r="D40" s="30">
        <f t="shared" ca="1" si="9"/>
        <v>6.4080335936417683</v>
      </c>
      <c r="E40" s="30">
        <f t="shared" ca="1" si="10"/>
        <v>16.051121912927783</v>
      </c>
      <c r="F40" s="30">
        <f t="shared" ca="1" si="11"/>
        <v>0.43426917386521091</v>
      </c>
      <c r="G40" s="30">
        <v>38</v>
      </c>
      <c r="H40" s="30">
        <f t="shared" si="1"/>
        <v>0.68255459501038684</v>
      </c>
      <c r="I40" s="30">
        <f t="shared" ca="1" si="2"/>
        <v>4.0968065094969006</v>
      </c>
      <c r="J40" s="30">
        <f t="shared" ca="1" si="3"/>
        <v>6.0021667709006588</v>
      </c>
      <c r="K40" s="30">
        <f t="shared" ca="1" si="4"/>
        <v>2.4733871031216697E-3</v>
      </c>
      <c r="L40" s="30">
        <f t="shared" ca="1" si="5"/>
        <v>5.9701228109805946</v>
      </c>
      <c r="M40" s="1">
        <f t="shared" ca="1" si="6"/>
        <v>11.954315403430883</v>
      </c>
    </row>
    <row r="41" spans="1:13" x14ac:dyDescent="0.4">
      <c r="A41" s="1">
        <f t="shared" ca="1" si="7"/>
        <v>5.9701228109805946</v>
      </c>
      <c r="B41" s="30">
        <f t="shared" ca="1" si="8"/>
        <v>11.954315403430883</v>
      </c>
      <c r="C41" s="30">
        <f t="shared" ca="1" si="0"/>
        <v>-0.43474636704526848</v>
      </c>
      <c r="D41" s="30">
        <f t="shared" ca="1" si="9"/>
        <v>5.5353764439353261</v>
      </c>
      <c r="E41" s="30">
        <f t="shared" ca="1" si="10"/>
        <v>13.768950643290054</v>
      </c>
      <c r="F41" s="30">
        <f t="shared" ca="1" si="11"/>
        <v>0.42991270515797753</v>
      </c>
      <c r="G41" s="30">
        <v>39</v>
      </c>
      <c r="H41" s="30">
        <f t="shared" si="1"/>
        <v>0.67572904906028297</v>
      </c>
      <c r="I41" s="30">
        <f t="shared" ca="1" si="2"/>
        <v>1.8146352398591716</v>
      </c>
      <c r="J41" s="30">
        <f t="shared" ca="1" si="3"/>
        <v>2.6854480244452015</v>
      </c>
      <c r="K41" s="30">
        <f t="shared" ca="1" si="4"/>
        <v>6.8190636079584935E-2</v>
      </c>
      <c r="L41" s="30">
        <f t="shared" ca="1" si="5"/>
        <v>5.9701228109805946</v>
      </c>
      <c r="M41" s="1">
        <f t="shared" ca="1" si="6"/>
        <v>11.954315403430883</v>
      </c>
    </row>
    <row r="42" spans="1:13" x14ac:dyDescent="0.4">
      <c r="A42" s="1">
        <f t="shared" ca="1" si="7"/>
        <v>5.9701228109805946</v>
      </c>
      <c r="B42" s="30">
        <f t="shared" ca="1" si="8"/>
        <v>11.954315403430883</v>
      </c>
      <c r="C42" s="30">
        <f t="shared" ca="1" si="0"/>
        <v>0.49396551236502817</v>
      </c>
      <c r="D42" s="30">
        <f t="shared" ca="1" si="9"/>
        <v>6.4640883233456226</v>
      </c>
      <c r="E42" s="30">
        <f t="shared" ca="1" si="10"/>
        <v>17.22024708209824</v>
      </c>
      <c r="F42" s="30">
        <f t="shared" ca="1" si="11"/>
        <v>0.78820005334022714</v>
      </c>
      <c r="G42" s="30">
        <v>40</v>
      </c>
      <c r="H42" s="30">
        <f t="shared" si="1"/>
        <v>0.66897175856968005</v>
      </c>
      <c r="I42" s="30">
        <f t="shared" ca="1" si="2"/>
        <v>5.2659316786673571</v>
      </c>
      <c r="J42" s="30">
        <f t="shared" ca="1" si="3"/>
        <v>7.8716800989123641</v>
      </c>
      <c r="K42" s="30">
        <f t="shared" ca="1" si="4"/>
        <v>3.8139304557216865E-4</v>
      </c>
      <c r="L42" s="30">
        <f t="shared" ca="1" si="5"/>
        <v>5.9701228109805946</v>
      </c>
      <c r="M42" s="1">
        <f t="shared" ca="1" si="6"/>
        <v>11.954315403430883</v>
      </c>
    </row>
    <row r="43" spans="1:13" x14ac:dyDescent="0.4">
      <c r="A43" s="1">
        <f t="shared" ca="1" si="7"/>
        <v>5.9701228109805946</v>
      </c>
      <c r="B43" s="30">
        <f t="shared" ca="1" si="8"/>
        <v>11.954315403430883</v>
      </c>
      <c r="C43" s="30">
        <f t="shared" ca="1" si="0"/>
        <v>-0.15952918343393008</v>
      </c>
      <c r="D43" s="30">
        <f t="shared" ca="1" si="9"/>
        <v>5.8105936275466643</v>
      </c>
      <c r="E43" s="30">
        <f t="shared" ca="1" si="10"/>
        <v>12.142111350977302</v>
      </c>
      <c r="F43" s="30">
        <f t="shared" ca="1" si="11"/>
        <v>0.40249207807202758</v>
      </c>
      <c r="G43" s="30">
        <v>41</v>
      </c>
      <c r="H43" s="30">
        <f t="shared" si="1"/>
        <v>0.66228204098398324</v>
      </c>
      <c r="I43" s="30">
        <f t="shared" ca="1" si="2"/>
        <v>0.18779594754641948</v>
      </c>
      <c r="J43" s="30">
        <f t="shared" ca="1" si="3"/>
        <v>0.28355887057937174</v>
      </c>
      <c r="K43" s="30">
        <f t="shared" ca="1" si="4"/>
        <v>0.75309878547318976</v>
      </c>
      <c r="L43" s="30">
        <f t="shared" ca="1" si="5"/>
        <v>5.8105936275466643</v>
      </c>
      <c r="M43" s="1">
        <f t="shared" ca="1" si="6"/>
        <v>12.142111350977302</v>
      </c>
    </row>
    <row r="44" spans="1:13" x14ac:dyDescent="0.4">
      <c r="A44" s="1">
        <f t="shared" ca="1" si="7"/>
        <v>5.8105936275466643</v>
      </c>
      <c r="B44" s="30">
        <f t="shared" ca="1" si="8"/>
        <v>12.142111350977302</v>
      </c>
      <c r="C44" s="30">
        <f t="shared" ca="1" si="0"/>
        <v>-0.86588868416897835</v>
      </c>
      <c r="D44" s="30">
        <f t="shared" ca="1" si="9"/>
        <v>4.944704943377686</v>
      </c>
      <c r="E44" s="30">
        <f t="shared" ca="1" si="10"/>
        <v>19.546168560103638</v>
      </c>
      <c r="F44" s="30">
        <f t="shared" ca="1" si="11"/>
        <v>0.83537015884968224</v>
      </c>
      <c r="G44" s="30">
        <v>42</v>
      </c>
      <c r="H44" s="30">
        <f t="shared" si="1"/>
        <v>0.65565922057414339</v>
      </c>
      <c r="I44" s="30">
        <f t="shared" ca="1" si="2"/>
        <v>7.4040572091263357</v>
      </c>
      <c r="J44" s="30">
        <f t="shared" ca="1" si="3"/>
        <v>11.292538832356843</v>
      </c>
      <c r="K44" s="30">
        <f t="shared" ca="1" si="4"/>
        <v>1.2465585976369617E-5</v>
      </c>
      <c r="L44" s="30">
        <f t="shared" ca="1" si="5"/>
        <v>5.8105936275466643</v>
      </c>
      <c r="M44" s="1">
        <f t="shared" ca="1" si="6"/>
        <v>12.142111350977302</v>
      </c>
    </row>
    <row r="45" spans="1:13" x14ac:dyDescent="0.4">
      <c r="A45" s="1">
        <f t="shared" ca="1" si="7"/>
        <v>5.8105936275466643</v>
      </c>
      <c r="B45" s="30">
        <f t="shared" ca="1" si="8"/>
        <v>12.142111350977302</v>
      </c>
      <c r="C45" s="30">
        <f t="shared" ca="1" si="0"/>
        <v>0.55902281799785047</v>
      </c>
      <c r="D45" s="30">
        <f t="shared" ca="1" si="9"/>
        <v>6.3696164455445148</v>
      </c>
      <c r="E45" s="30">
        <f t="shared" ca="1" si="10"/>
        <v>15.347723077582486</v>
      </c>
      <c r="F45" s="30">
        <f t="shared" ca="1" si="11"/>
        <v>0.28082540330250472</v>
      </c>
      <c r="G45" s="30">
        <v>43</v>
      </c>
      <c r="H45" s="30">
        <f t="shared" si="1"/>
        <v>0.64910262836840193</v>
      </c>
      <c r="I45" s="30">
        <f t="shared" ca="1" si="2"/>
        <v>3.2056117266051842</v>
      </c>
      <c r="J45" s="30">
        <f t="shared" ca="1" si="3"/>
        <v>4.9385283412930825</v>
      </c>
      <c r="K45" s="30">
        <f t="shared" ca="1" si="4"/>
        <v>7.1651352507464275E-3</v>
      </c>
      <c r="L45" s="30">
        <f t="shared" ca="1" si="5"/>
        <v>5.8105936275466643</v>
      </c>
      <c r="M45" s="1">
        <f t="shared" ca="1" si="6"/>
        <v>12.142111350977302</v>
      </c>
    </row>
    <row r="46" spans="1:13" x14ac:dyDescent="0.4">
      <c r="A46" s="1">
        <f t="shared" ca="1" si="7"/>
        <v>5.8105936275466643</v>
      </c>
      <c r="B46" s="30">
        <f t="shared" ca="1" si="8"/>
        <v>12.142111350977302</v>
      </c>
      <c r="C46" s="30">
        <f t="shared" ca="1" si="0"/>
        <v>-0.72910307059386592</v>
      </c>
      <c r="D46" s="30">
        <f t="shared" ca="1" si="9"/>
        <v>5.0814905569527982</v>
      </c>
      <c r="E46" s="30">
        <f t="shared" ca="1" si="10"/>
        <v>18.174021728677985</v>
      </c>
      <c r="F46" s="30">
        <f t="shared" ca="1" si="11"/>
        <v>0.87246076352669166</v>
      </c>
      <c r="G46" s="30">
        <v>44</v>
      </c>
      <c r="H46" s="30">
        <f t="shared" si="1"/>
        <v>0.64261160208471801</v>
      </c>
      <c r="I46" s="30">
        <f t="shared" ca="1" si="2"/>
        <v>6.0319103777006831</v>
      </c>
      <c r="J46" s="30">
        <f t="shared" ca="1" si="3"/>
        <v>9.3865569157674074</v>
      </c>
      <c r="K46" s="30">
        <f t="shared" ca="1" si="4"/>
        <v>8.3843640548006133E-5</v>
      </c>
      <c r="L46" s="30">
        <f t="shared" ca="1" si="5"/>
        <v>5.8105936275466643</v>
      </c>
      <c r="M46" s="1">
        <f t="shared" ca="1" si="6"/>
        <v>12.142111350977302</v>
      </c>
    </row>
    <row r="47" spans="1:13" x14ac:dyDescent="0.4">
      <c r="A47" s="1">
        <f t="shared" ca="1" si="7"/>
        <v>5.8105936275466643</v>
      </c>
      <c r="B47" s="30">
        <f t="shared" ca="1" si="8"/>
        <v>12.142111350977302</v>
      </c>
      <c r="C47" s="30">
        <f t="shared" ca="1" si="0"/>
        <v>-0.83053296874222649</v>
      </c>
      <c r="D47" s="30">
        <f t="shared" ca="1" si="9"/>
        <v>4.9800606588044376</v>
      </c>
      <c r="E47" s="30">
        <f t="shared" ca="1" si="10"/>
        <v>19.198566705648659</v>
      </c>
      <c r="F47" s="30">
        <f t="shared" ca="1" si="11"/>
        <v>0.84613377951462398</v>
      </c>
      <c r="G47" s="30">
        <v>45</v>
      </c>
      <c r="H47" s="30">
        <f t="shared" si="1"/>
        <v>0.63618548606387071</v>
      </c>
      <c r="I47" s="30">
        <f t="shared" ca="1" si="2"/>
        <v>7.0564553546713569</v>
      </c>
      <c r="J47" s="30">
        <f t="shared" ca="1" si="3"/>
        <v>11.091820717775562</v>
      </c>
      <c r="K47" s="30">
        <f t="shared" ca="1" si="4"/>
        <v>1.5236438674711432E-5</v>
      </c>
      <c r="L47" s="30">
        <f t="shared" ca="1" si="5"/>
        <v>5.8105936275466643</v>
      </c>
      <c r="M47" s="1">
        <f t="shared" ca="1" si="6"/>
        <v>12.142111350977302</v>
      </c>
    </row>
    <row r="48" spans="1:13" x14ac:dyDescent="0.4">
      <c r="A48" s="1">
        <f t="shared" ca="1" si="7"/>
        <v>5.8105936275466643</v>
      </c>
      <c r="B48" s="30">
        <f t="shared" ca="1" si="8"/>
        <v>12.142111350977302</v>
      </c>
      <c r="C48" s="30">
        <f t="shared" ca="1" si="0"/>
        <v>0.17635111638388712</v>
      </c>
      <c r="D48" s="30">
        <f t="shared" ca="1" si="9"/>
        <v>5.9869447439305512</v>
      </c>
      <c r="E48" s="30">
        <f t="shared" ca="1" si="10"/>
        <v>11.976598751214624</v>
      </c>
      <c r="F48" s="30">
        <f t="shared" ca="1" si="11"/>
        <v>7.8168369683834227E-2</v>
      </c>
      <c r="G48" s="30">
        <v>46</v>
      </c>
      <c r="H48" s="30">
        <f t="shared" si="1"/>
        <v>0.62982363120323204</v>
      </c>
      <c r="I48" s="30">
        <f t="shared" ca="1" si="2"/>
        <v>-0.16551259976267829</v>
      </c>
      <c r="J48" s="30">
        <f t="shared" ca="1" si="3"/>
        <v>-0.26279198106060037</v>
      </c>
      <c r="K48" s="30">
        <f t="shared" ca="1" si="4"/>
        <v>0</v>
      </c>
      <c r="L48" s="30">
        <f t="shared" ca="1" si="5"/>
        <v>5.9869447439305512</v>
      </c>
      <c r="M48" s="1">
        <f t="shared" ca="1" si="6"/>
        <v>11.976598751214624</v>
      </c>
    </row>
    <row r="49" spans="1:13" x14ac:dyDescent="0.4">
      <c r="A49" s="1">
        <f t="shared" ca="1" si="7"/>
        <v>5.9869447439305512</v>
      </c>
      <c r="B49" s="30">
        <f t="shared" ca="1" si="8"/>
        <v>11.976598751214624</v>
      </c>
      <c r="C49" s="30">
        <f t="shared" ca="1" si="0"/>
        <v>1.9529300702644914E-2</v>
      </c>
      <c r="D49" s="30">
        <f t="shared" ca="1" si="9"/>
        <v>6.0064740446331957</v>
      </c>
      <c r="E49" s="30">
        <f t="shared" ca="1" si="10"/>
        <v>12.013620873871787</v>
      </c>
      <c r="F49" s="30">
        <f t="shared" ca="1" si="11"/>
        <v>0.13071908546532929</v>
      </c>
      <c r="G49" s="30">
        <v>47</v>
      </c>
      <c r="H49" s="30">
        <f t="shared" si="1"/>
        <v>0.62352539489119974</v>
      </c>
      <c r="I49" s="30">
        <f t="shared" ca="1" si="2"/>
        <v>3.7022122657162981E-2</v>
      </c>
      <c r="J49" s="30">
        <f t="shared" ca="1" si="3"/>
        <v>5.9375484880809147E-2</v>
      </c>
      <c r="K49" s="30">
        <f t="shared" ca="1" si="4"/>
        <v>0.94235286346552105</v>
      </c>
      <c r="L49" s="30">
        <f t="shared" ca="1" si="5"/>
        <v>6.0064740446331957</v>
      </c>
      <c r="M49" s="1">
        <f t="shared" ca="1" si="6"/>
        <v>12.013620873871787</v>
      </c>
    </row>
    <row r="50" spans="1:13" x14ac:dyDescent="0.4">
      <c r="A50" s="1">
        <f t="shared" ca="1" si="7"/>
        <v>6.0064740446331957</v>
      </c>
      <c r="B50" s="30">
        <f t="shared" ca="1" si="8"/>
        <v>12.013620873871787</v>
      </c>
      <c r="C50" s="30">
        <f t="shared" ca="1" si="0"/>
        <v>-0.68070290943286316</v>
      </c>
      <c r="D50" s="30">
        <f t="shared" ca="1" si="9"/>
        <v>5.3257711352003323</v>
      </c>
      <c r="E50" s="30">
        <f t="shared" ca="1" si="10"/>
        <v>15.679590122353602</v>
      </c>
      <c r="F50" s="30">
        <f t="shared" ca="1" si="11"/>
        <v>0.87683922321163255</v>
      </c>
      <c r="G50" s="30">
        <v>48</v>
      </c>
      <c r="H50" s="30">
        <f t="shared" si="1"/>
        <v>0.61729014094228774</v>
      </c>
      <c r="I50" s="30">
        <f t="shared" ca="1" si="2"/>
        <v>3.6659692484818152</v>
      </c>
      <c r="J50" s="30">
        <f t="shared" ca="1" si="3"/>
        <v>5.9388106262085225</v>
      </c>
      <c r="K50" s="30">
        <f t="shared" ca="1" si="4"/>
        <v>2.6351619804845434E-3</v>
      </c>
      <c r="L50" s="30">
        <f t="shared" ca="1" si="5"/>
        <v>6.0064740446331957</v>
      </c>
      <c r="M50" s="1">
        <f t="shared" ca="1" si="6"/>
        <v>12.013620873871787</v>
      </c>
    </row>
    <row r="51" spans="1:13" x14ac:dyDescent="0.4">
      <c r="A51" s="1">
        <f t="shared" ca="1" si="7"/>
        <v>6.0064740446331957</v>
      </c>
      <c r="B51" s="30">
        <f t="shared" ca="1" si="8"/>
        <v>12.013620873871787</v>
      </c>
      <c r="C51" s="30">
        <f t="shared" ca="1" si="0"/>
        <v>-0.71214139600706305</v>
      </c>
      <c r="D51" s="30">
        <f t="shared" ca="1" si="9"/>
        <v>5.2943326486261331</v>
      </c>
      <c r="E51" s="30">
        <f t="shared" ca="1" si="10"/>
        <v>15.99290931082146</v>
      </c>
      <c r="F51" s="30">
        <f t="shared" ca="1" si="11"/>
        <v>0.1370182755890238</v>
      </c>
      <c r="G51" s="30">
        <v>49</v>
      </c>
      <c r="H51" s="30">
        <f t="shared" si="1"/>
        <v>0.61111723953286479</v>
      </c>
      <c r="I51" s="30">
        <f t="shared" ca="1" si="2"/>
        <v>3.9792884369496733</v>
      </c>
      <c r="J51" s="30">
        <f t="shared" ca="1" si="3"/>
        <v>6.511497597402788</v>
      </c>
      <c r="K51" s="30">
        <f t="shared" ca="1" si="4"/>
        <v>1.4862522480387902E-3</v>
      </c>
      <c r="L51" s="30">
        <f t="shared" ca="1" si="5"/>
        <v>6.0064740446331957</v>
      </c>
      <c r="M51" s="1">
        <f t="shared" ca="1" si="6"/>
        <v>12.013620873871787</v>
      </c>
    </row>
    <row r="52" spans="1:13" x14ac:dyDescent="0.4">
      <c r="A52" s="1">
        <f t="shared" ca="1" si="7"/>
        <v>6.0064740446331957</v>
      </c>
      <c r="B52" s="30">
        <f t="shared" ca="1" si="8"/>
        <v>12.013620873871787</v>
      </c>
      <c r="C52" s="30">
        <f t="shared" ca="1" si="0"/>
        <v>-0.26252831115090425</v>
      </c>
      <c r="D52" s="30">
        <f t="shared" ca="1" si="9"/>
        <v>5.7439457334822919</v>
      </c>
      <c r="E52" s="30">
        <f t="shared" ca="1" si="10"/>
        <v>12.406907575667219</v>
      </c>
      <c r="F52" s="30">
        <f t="shared" ca="1" si="11"/>
        <v>0.39044002677885858</v>
      </c>
      <c r="G52" s="30">
        <v>50</v>
      </c>
      <c r="H52" s="30">
        <f t="shared" si="1"/>
        <v>0.60500606713753613</v>
      </c>
      <c r="I52" s="30">
        <f t="shared" ca="1" si="2"/>
        <v>0.39328670179543224</v>
      </c>
      <c r="J52" s="30">
        <f t="shared" ca="1" si="3"/>
        <v>0.65005414516946702</v>
      </c>
      <c r="K52" s="30">
        <f t="shared" ca="1" si="4"/>
        <v>0.5220175112691906</v>
      </c>
      <c r="L52" s="30">
        <f t="shared" ca="1" si="5"/>
        <v>5.7439457334822919</v>
      </c>
      <c r="M52" s="1">
        <f t="shared" ca="1" si="6"/>
        <v>12.406907575667219</v>
      </c>
    </row>
    <row r="53" spans="1:13" x14ac:dyDescent="0.4">
      <c r="A53" s="1">
        <f t="shared" ca="1" si="7"/>
        <v>5.7439457334822919</v>
      </c>
      <c r="B53" s="30">
        <f t="shared" ca="1" si="8"/>
        <v>12.406907575667219</v>
      </c>
      <c r="C53" s="30">
        <f t="shared" ca="1" si="0"/>
        <v>-0.19119333781580572</v>
      </c>
      <c r="D53" s="30">
        <f t="shared" ca="1" si="9"/>
        <v>5.5527523956664862</v>
      </c>
      <c r="E53" s="30">
        <f t="shared" ca="1" si="10"/>
        <v>13.630298665788814</v>
      </c>
      <c r="F53" s="30">
        <f t="shared" ca="1" si="11"/>
        <v>0.60912414474986609</v>
      </c>
      <c r="G53" s="30">
        <v>51</v>
      </c>
      <c r="H53" s="30">
        <f t="shared" si="1"/>
        <v>0.59895600646616076</v>
      </c>
      <c r="I53" s="30">
        <f t="shared" ca="1" si="2"/>
        <v>1.223391090121595</v>
      </c>
      <c r="J53" s="30">
        <f t="shared" ca="1" si="3"/>
        <v>2.0425391463049181</v>
      </c>
      <c r="K53" s="30">
        <f t="shared" ca="1" si="4"/>
        <v>0.12969896776782786</v>
      </c>
      <c r="L53" s="30">
        <f t="shared" ca="1" si="5"/>
        <v>5.7439457334822919</v>
      </c>
      <c r="M53" s="1">
        <f t="shared" ca="1" si="6"/>
        <v>12.406907575667219</v>
      </c>
    </row>
    <row r="54" spans="1:13" x14ac:dyDescent="0.4">
      <c r="A54" s="1">
        <f t="shared" ca="1" si="7"/>
        <v>5.7439457334822919</v>
      </c>
      <c r="B54" s="30">
        <f t="shared" ca="1" si="8"/>
        <v>12.406907575667219</v>
      </c>
      <c r="C54" s="30">
        <f t="shared" ca="1" si="0"/>
        <v>-0.64163735975634695</v>
      </c>
      <c r="D54" s="30">
        <f t="shared" ca="1" si="9"/>
        <v>5.1023083737259451</v>
      </c>
      <c r="E54" s="30">
        <f t="shared" ca="1" si="10"/>
        <v>17.960375262586126</v>
      </c>
      <c r="F54" s="30">
        <f t="shared" ca="1" si="11"/>
        <v>0.29341996581586871</v>
      </c>
      <c r="G54" s="30">
        <v>52</v>
      </c>
      <c r="H54" s="30">
        <f t="shared" si="1"/>
        <v>0.5929664464014992</v>
      </c>
      <c r="I54" s="30">
        <f t="shared" ca="1" si="2"/>
        <v>5.553467686918907</v>
      </c>
      <c r="J54" s="30">
        <f t="shared" ca="1" si="3"/>
        <v>9.3655681879150361</v>
      </c>
      <c r="K54" s="30">
        <f t="shared" ca="1" si="4"/>
        <v>8.5622009467823675E-5</v>
      </c>
      <c r="L54" s="30">
        <f t="shared" ca="1" si="5"/>
        <v>5.7439457334822919</v>
      </c>
      <c r="M54" s="1">
        <f t="shared" ca="1" si="6"/>
        <v>12.406907575667219</v>
      </c>
    </row>
    <row r="55" spans="1:13" x14ac:dyDescent="0.4">
      <c r="A55" s="1">
        <f t="shared" ca="1" si="7"/>
        <v>5.7439457334822919</v>
      </c>
      <c r="B55" s="30">
        <f t="shared" ca="1" si="8"/>
        <v>12.406907575667219</v>
      </c>
      <c r="C55" s="30">
        <f t="shared" ca="1" si="0"/>
        <v>-0.79890953312144597</v>
      </c>
      <c r="D55" s="30">
        <f t="shared" ca="1" si="9"/>
        <v>4.9450362003608461</v>
      </c>
      <c r="E55" s="30">
        <f t="shared" ca="1" si="10"/>
        <v>19.542940897615608</v>
      </c>
      <c r="F55" s="30">
        <f t="shared" ca="1" si="11"/>
        <v>0.30552361649394366</v>
      </c>
      <c r="G55" s="30">
        <v>53</v>
      </c>
      <c r="H55" s="30">
        <f t="shared" si="1"/>
        <v>0.58703678193748421</v>
      </c>
      <c r="I55" s="30">
        <f t="shared" ca="1" si="2"/>
        <v>7.1360333219483891</v>
      </c>
      <c r="J55" s="30">
        <f t="shared" ca="1" si="3"/>
        <v>12.156024190505208</v>
      </c>
      <c r="K55" s="30">
        <f t="shared" ca="1" si="4"/>
        <v>5.2566101848869912E-6</v>
      </c>
      <c r="L55" s="30">
        <f t="shared" ca="1" si="5"/>
        <v>5.7439457334822919</v>
      </c>
      <c r="M55" s="1">
        <f t="shared" ca="1" si="6"/>
        <v>12.406907575667219</v>
      </c>
    </row>
    <row r="56" spans="1:13" x14ac:dyDescent="0.4">
      <c r="A56" s="1">
        <f t="shared" ca="1" si="7"/>
        <v>5.7439457334822919</v>
      </c>
      <c r="B56" s="30">
        <f t="shared" ca="1" si="8"/>
        <v>12.406907575667219</v>
      </c>
      <c r="C56" s="30">
        <f t="shared" ca="1" si="0"/>
        <v>-0.30302409760228821</v>
      </c>
      <c r="D56" s="30">
        <f t="shared" ca="1" si="9"/>
        <v>5.4409216358800041</v>
      </c>
      <c r="E56" s="30">
        <f t="shared" ca="1" si="10"/>
        <v>14.582637478311881</v>
      </c>
      <c r="F56" s="30">
        <f t="shared" ca="1" si="11"/>
        <v>0.66473319142234011</v>
      </c>
      <c r="G56" s="30">
        <v>54</v>
      </c>
      <c r="H56" s="30">
        <f t="shared" si="1"/>
        <v>0.58116641411810932</v>
      </c>
      <c r="I56" s="30">
        <f t="shared" ca="1" si="2"/>
        <v>2.1757299026446617</v>
      </c>
      <c r="J56" s="30">
        <f t="shared" ca="1" si="3"/>
        <v>3.7437295924029299</v>
      </c>
      <c r="K56" s="30">
        <f t="shared" ca="1" si="4"/>
        <v>2.3665675011651573E-2</v>
      </c>
      <c r="L56" s="30">
        <f t="shared" ca="1" si="5"/>
        <v>5.7439457334822919</v>
      </c>
      <c r="M56" s="1">
        <f t="shared" ca="1" si="6"/>
        <v>12.406907575667219</v>
      </c>
    </row>
    <row r="57" spans="1:13" x14ac:dyDescent="0.4">
      <c r="A57" s="1">
        <f t="shared" ca="1" si="7"/>
        <v>5.7439457334822919</v>
      </c>
      <c r="B57" s="30">
        <f t="shared" ca="1" si="8"/>
        <v>12.406907575667219</v>
      </c>
      <c r="C57" s="30">
        <f t="shared" ca="1" si="0"/>
        <v>0.97850229742912043</v>
      </c>
      <c r="D57" s="30">
        <f t="shared" ca="1" si="9"/>
        <v>6.7224480309114121</v>
      </c>
      <c r="E57" s="30">
        <f t="shared" ca="1" si="10"/>
        <v>25.084751808032024</v>
      </c>
      <c r="F57" s="30">
        <f t="shared" ca="1" si="11"/>
        <v>0.89874501311747323</v>
      </c>
      <c r="G57" s="30">
        <v>55</v>
      </c>
      <c r="H57" s="30">
        <f t="shared" si="1"/>
        <v>0.57535474997692826</v>
      </c>
      <c r="I57" s="30">
        <f t="shared" ca="1" si="2"/>
        <v>12.677844232364805</v>
      </c>
      <c r="J57" s="30">
        <f t="shared" ca="1" si="3"/>
        <v>22.034830220612911</v>
      </c>
      <c r="K57" s="30">
        <f t="shared" ca="1" si="4"/>
        <v>2.6939828428829078E-10</v>
      </c>
      <c r="L57" s="30">
        <f t="shared" ca="1" si="5"/>
        <v>5.7439457334822919</v>
      </c>
      <c r="M57" s="1">
        <f t="shared" ca="1" si="6"/>
        <v>12.406907575667219</v>
      </c>
    </row>
    <row r="58" spans="1:13" x14ac:dyDescent="0.4">
      <c r="A58" s="1">
        <f t="shared" ca="1" si="7"/>
        <v>5.7439457334822919</v>
      </c>
      <c r="B58" s="30">
        <f t="shared" ca="1" si="8"/>
        <v>12.406907575667219</v>
      </c>
      <c r="C58" s="30">
        <f t="shared" ca="1" si="0"/>
        <v>0.35226894066018999</v>
      </c>
      <c r="D58" s="30">
        <f t="shared" ca="1" si="9"/>
        <v>6.0962146741424821</v>
      </c>
      <c r="E58" s="30">
        <f t="shared" ca="1" si="10"/>
        <v>12.347756738283124</v>
      </c>
      <c r="F58" s="30">
        <f t="shared" ca="1" si="11"/>
        <v>0.20062299791057048</v>
      </c>
      <c r="G58" s="30">
        <v>56</v>
      </c>
      <c r="H58" s="30">
        <f t="shared" si="1"/>
        <v>0.56960120247715895</v>
      </c>
      <c r="I58" s="30">
        <f t="shared" ca="1" si="2"/>
        <v>-5.9150837384095212E-2</v>
      </c>
      <c r="J58" s="30">
        <f t="shared" ca="1" si="3"/>
        <v>-0.10384605426893768</v>
      </c>
      <c r="K58" s="30">
        <f t="shared" ca="1" si="4"/>
        <v>0</v>
      </c>
      <c r="L58" s="30">
        <f t="shared" ca="1" si="5"/>
        <v>6.0962146741424821</v>
      </c>
      <c r="M58" s="1">
        <f t="shared" ca="1" si="6"/>
        <v>12.347756738283124</v>
      </c>
    </row>
    <row r="59" spans="1:13" x14ac:dyDescent="0.4">
      <c r="A59" s="1">
        <f t="shared" ref="A59:A122" ca="1" si="12">L58</f>
        <v>6.0962146741424821</v>
      </c>
      <c r="B59" s="30">
        <f t="shared" ca="1" si="8"/>
        <v>12.347756738283124</v>
      </c>
      <c r="C59" s="30">
        <f t="shared" ca="1" si="0"/>
        <v>-0.47510582228263543</v>
      </c>
      <c r="D59" s="30">
        <f t="shared" ref="D59:D122" ca="1" si="13">A59+C59</f>
        <v>5.6211088518598462</v>
      </c>
      <c r="E59" s="30">
        <f t="shared" ca="1" si="10"/>
        <v>13.124618415873783</v>
      </c>
      <c r="F59" s="30">
        <f t="shared" ca="1" si="11"/>
        <v>0.33976893578216172</v>
      </c>
      <c r="G59" s="30">
        <v>57</v>
      </c>
      <c r="H59" s="30">
        <f t="shared" si="1"/>
        <v>0.56390519045238729</v>
      </c>
      <c r="I59" s="30">
        <f t="shared" ca="1" si="2"/>
        <v>0.77686167759065938</v>
      </c>
      <c r="J59" s="30">
        <f t="shared" ca="1" si="3"/>
        <v>1.3776459070494278</v>
      </c>
      <c r="K59" s="30">
        <f t="shared" ca="1" si="4"/>
        <v>0.25217148999853767</v>
      </c>
      <c r="L59" s="30">
        <f t="shared" ca="1" si="5"/>
        <v>6.0962146741424821</v>
      </c>
      <c r="M59" s="1">
        <f t="shared" ca="1" si="6"/>
        <v>12.347756738283124</v>
      </c>
    </row>
    <row r="60" spans="1:13" x14ac:dyDescent="0.4">
      <c r="A60" s="1">
        <f t="shared" ca="1" si="12"/>
        <v>6.0962146741424821</v>
      </c>
      <c r="B60" s="30">
        <f t="shared" ca="1" si="8"/>
        <v>12.347756738283124</v>
      </c>
      <c r="C60" s="30">
        <f t="shared" ca="1" si="0"/>
        <v>0.48212158672241578</v>
      </c>
      <c r="D60" s="30">
        <f t="shared" ca="1" si="13"/>
        <v>6.5783362608648979</v>
      </c>
      <c r="E60" s="30">
        <f t="shared" ca="1" si="10"/>
        <v>20.167612016083922</v>
      </c>
      <c r="F60" s="30">
        <f t="shared" ca="1" si="11"/>
        <v>0.88619819747566153</v>
      </c>
      <c r="G60" s="30">
        <v>58</v>
      </c>
      <c r="H60" s="30">
        <f t="shared" si="1"/>
        <v>0.55826613854786344</v>
      </c>
      <c r="I60" s="30">
        <f t="shared" ca="1" si="2"/>
        <v>7.8198552778007979</v>
      </c>
      <c r="J60" s="30">
        <f t="shared" ca="1" si="3"/>
        <v>14.00739671967469</v>
      </c>
      <c r="K60" s="30">
        <f t="shared" ca="1" si="4"/>
        <v>8.2540082536181711E-7</v>
      </c>
      <c r="L60" s="30">
        <f t="shared" ca="1" si="5"/>
        <v>6.0962146741424821</v>
      </c>
      <c r="M60" s="1">
        <f t="shared" ca="1" si="6"/>
        <v>12.347756738283124</v>
      </c>
    </row>
    <row r="61" spans="1:13" x14ac:dyDescent="0.4">
      <c r="A61" s="1">
        <f t="shared" ca="1" si="12"/>
        <v>6.0962146741424821</v>
      </c>
      <c r="B61" s="30">
        <f t="shared" ca="1" si="8"/>
        <v>12.347756738283124</v>
      </c>
      <c r="C61" s="30">
        <f t="shared" ca="1" si="0"/>
        <v>0.84925567446099914</v>
      </c>
      <c r="D61" s="30">
        <f t="shared" ca="1" si="13"/>
        <v>6.9454703486034814</v>
      </c>
      <c r="E61" s="30">
        <f t="shared" ca="1" si="10"/>
        <v>35.754004951743127</v>
      </c>
      <c r="F61" s="30">
        <f t="shared" ca="1" si="11"/>
        <v>0.71203658911754075</v>
      </c>
      <c r="G61" s="30">
        <v>59</v>
      </c>
      <c r="H61" s="30">
        <f t="shared" si="1"/>
        <v>0.55268347716238486</v>
      </c>
      <c r="I61" s="30">
        <f t="shared" ca="1" si="2"/>
        <v>23.406248213460003</v>
      </c>
      <c r="J61" s="30">
        <f t="shared" ca="1" si="3"/>
        <v>42.350186283175198</v>
      </c>
      <c r="K61" s="30">
        <f t="shared" ca="1" si="4"/>
        <v>4.0508651829019168E-19</v>
      </c>
      <c r="L61" s="30">
        <f t="shared" ca="1" si="5"/>
        <v>6.0962146741424821</v>
      </c>
      <c r="M61" s="1">
        <f t="shared" ca="1" si="6"/>
        <v>12.347756738283124</v>
      </c>
    </row>
    <row r="62" spans="1:13" x14ac:dyDescent="0.4">
      <c r="A62" s="1">
        <f t="shared" ca="1" si="12"/>
        <v>6.0962146741424821</v>
      </c>
      <c r="B62" s="30">
        <f t="shared" ca="1" si="8"/>
        <v>12.347756738283124</v>
      </c>
      <c r="C62" s="30">
        <f t="shared" ca="1" si="0"/>
        <v>0.22861420415148004</v>
      </c>
      <c r="D62" s="30">
        <f t="shared" ca="1" si="13"/>
        <v>6.3248288782939621</v>
      </c>
      <c r="E62" s="30">
        <f t="shared" ca="1" si="10"/>
        <v>14.623203156233785</v>
      </c>
      <c r="F62" s="30">
        <f t="shared" ca="1" si="11"/>
        <v>0.76484322842398134</v>
      </c>
      <c r="G62" s="30">
        <v>60</v>
      </c>
      <c r="H62" s="30">
        <f t="shared" si="1"/>
        <v>0.54715664239076089</v>
      </c>
      <c r="I62" s="30">
        <f t="shared" ca="1" si="2"/>
        <v>2.2754464179506613</v>
      </c>
      <c r="J62" s="30">
        <f t="shared" ca="1" si="3"/>
        <v>4.1586745762753878</v>
      </c>
      <c r="K62" s="30">
        <f t="shared" ca="1" si="4"/>
        <v>1.5628258262865579E-2</v>
      </c>
      <c r="L62" s="30">
        <f t="shared" ca="1" si="5"/>
        <v>6.0962146741424821</v>
      </c>
      <c r="M62" s="1">
        <f t="shared" ca="1" si="6"/>
        <v>12.347756738283124</v>
      </c>
    </row>
    <row r="63" spans="1:13" x14ac:dyDescent="0.4">
      <c r="A63" s="1">
        <f t="shared" ca="1" si="12"/>
        <v>6.0962146741424821</v>
      </c>
      <c r="B63" s="30">
        <f t="shared" ca="1" si="8"/>
        <v>12.347756738283124</v>
      </c>
      <c r="C63" s="30">
        <f t="shared" ca="1" si="0"/>
        <v>-0.85522294246482322</v>
      </c>
      <c r="D63" s="30">
        <f t="shared" ca="1" si="13"/>
        <v>5.2409917316776591</v>
      </c>
      <c r="E63" s="30">
        <f t="shared" ca="1" si="10"/>
        <v>16.533285914798512</v>
      </c>
      <c r="F63" s="30">
        <f t="shared" ca="1" si="11"/>
        <v>0.25780899016215386</v>
      </c>
      <c r="G63" s="30">
        <v>61</v>
      </c>
      <c r="H63" s="30">
        <f t="shared" si="1"/>
        <v>0.54168507596685322</v>
      </c>
      <c r="I63" s="30">
        <f t="shared" ca="1" si="2"/>
        <v>4.1855291765153879</v>
      </c>
      <c r="J63" s="30">
        <f t="shared" ca="1" si="3"/>
        <v>7.7268681789776847</v>
      </c>
      <c r="K63" s="30">
        <f t="shared" ca="1" si="4"/>
        <v>4.4082253477798448E-4</v>
      </c>
      <c r="L63" s="30">
        <f t="shared" ca="1" si="5"/>
        <v>6.0962146741424821</v>
      </c>
      <c r="M63" s="1">
        <f t="shared" ca="1" si="6"/>
        <v>12.347756738283124</v>
      </c>
    </row>
    <row r="64" spans="1:13" x14ac:dyDescent="0.4">
      <c r="A64" s="1">
        <f t="shared" ca="1" si="12"/>
        <v>6.0962146741424821</v>
      </c>
      <c r="B64" s="30">
        <f t="shared" ca="1" si="8"/>
        <v>12.347756738283124</v>
      </c>
      <c r="C64" s="30">
        <f t="shared" ca="1" si="0"/>
        <v>-0.30076887225880133</v>
      </c>
      <c r="D64" s="30">
        <f t="shared" ca="1" si="13"/>
        <v>5.7954458018836803</v>
      </c>
      <c r="E64" s="30">
        <f t="shared" ca="1" si="10"/>
        <v>12.193648770039545</v>
      </c>
      <c r="F64" s="30">
        <f t="shared" ca="1" si="11"/>
        <v>0.53493640137294063</v>
      </c>
      <c r="G64" s="30">
        <v>62</v>
      </c>
      <c r="H64" s="30">
        <f t="shared" si="1"/>
        <v>0.53626822520718487</v>
      </c>
      <c r="I64" s="30">
        <f t="shared" ca="1" si="2"/>
        <v>-0.15410796824357931</v>
      </c>
      <c r="J64" s="30">
        <f t="shared" ca="1" si="3"/>
        <v>-0.28737105985356559</v>
      </c>
      <c r="K64" s="30">
        <f t="shared" ca="1" si="4"/>
        <v>0</v>
      </c>
      <c r="L64" s="30">
        <f t="shared" ca="1" si="5"/>
        <v>5.7954458018836803</v>
      </c>
      <c r="M64" s="1">
        <f t="shared" ca="1" si="6"/>
        <v>12.193648770039545</v>
      </c>
    </row>
    <row r="65" spans="1:13" x14ac:dyDescent="0.4">
      <c r="A65" s="1">
        <f t="shared" ca="1" si="12"/>
        <v>5.7954458018836803</v>
      </c>
      <c r="B65" s="30">
        <f t="shared" ca="1" si="8"/>
        <v>12.193648770039545</v>
      </c>
      <c r="C65" s="30">
        <f t="shared" ca="1" si="0"/>
        <v>-0.51817151409586537</v>
      </c>
      <c r="D65" s="30">
        <f t="shared" ca="1" si="13"/>
        <v>5.2772742877878152</v>
      </c>
      <c r="E65" s="30">
        <f t="shared" ca="1" si="10"/>
        <v>16.164674285753563</v>
      </c>
      <c r="F65" s="30">
        <f t="shared" ca="1" si="11"/>
        <v>0.89413327122028419</v>
      </c>
      <c r="G65" s="30">
        <v>63</v>
      </c>
      <c r="H65" s="30">
        <f t="shared" si="1"/>
        <v>0.53090554295511294</v>
      </c>
      <c r="I65" s="30">
        <f t="shared" ca="1" si="2"/>
        <v>3.9710255157140182</v>
      </c>
      <c r="J65" s="30">
        <f t="shared" ca="1" si="3"/>
        <v>7.4797213334986052</v>
      </c>
      <c r="K65" s="30">
        <f t="shared" ca="1" si="4"/>
        <v>5.6441467712330313E-4</v>
      </c>
      <c r="L65" s="30">
        <f t="shared" ca="1" si="5"/>
        <v>5.7954458018836803</v>
      </c>
      <c r="M65" s="1">
        <f t="shared" ca="1" si="6"/>
        <v>12.193648770039545</v>
      </c>
    </row>
    <row r="66" spans="1:13" x14ac:dyDescent="0.4">
      <c r="A66" s="1">
        <f t="shared" ca="1" si="12"/>
        <v>5.7954458018836803</v>
      </c>
      <c r="B66" s="30">
        <f t="shared" ca="1" si="8"/>
        <v>12.193648770039545</v>
      </c>
      <c r="C66" s="30">
        <f t="shared" ca="1" si="0"/>
        <v>-0.67324344492901766</v>
      </c>
      <c r="D66" s="30">
        <f t="shared" ca="1" si="13"/>
        <v>5.1222023569546629</v>
      </c>
      <c r="E66" s="30">
        <f t="shared" ca="1" si="10"/>
        <v>17.755632199830075</v>
      </c>
      <c r="F66" s="30">
        <f t="shared" ca="1" si="11"/>
        <v>0.30258717683673053</v>
      </c>
      <c r="G66" s="30">
        <v>64</v>
      </c>
      <c r="H66" s="30">
        <f t="shared" si="1"/>
        <v>0.52559648752556176</v>
      </c>
      <c r="I66" s="30">
        <f t="shared" ca="1" si="2"/>
        <v>5.56198342979053</v>
      </c>
      <c r="J66" s="30">
        <f t="shared" ca="1" si="3"/>
        <v>10.582230973375806</v>
      </c>
      <c r="K66" s="30">
        <f t="shared" ca="1" si="4"/>
        <v>2.536269984299645E-5</v>
      </c>
      <c r="L66" s="30">
        <f t="shared" ca="1" si="5"/>
        <v>5.7954458018836803</v>
      </c>
      <c r="M66" s="1">
        <f t="shared" ca="1" si="6"/>
        <v>12.193648770039545</v>
      </c>
    </row>
    <row r="67" spans="1:13" x14ac:dyDescent="0.4">
      <c r="A67" s="1">
        <f t="shared" ca="1" si="12"/>
        <v>5.7954458018836803</v>
      </c>
      <c r="B67" s="30">
        <f t="shared" ca="1" si="8"/>
        <v>12.193648770039545</v>
      </c>
      <c r="C67" s="30">
        <f t="shared" ref="C67:C130" ca="1" si="14">2*(RAND()-0.5)</f>
        <v>0.92779105107065951</v>
      </c>
      <c r="D67" s="30">
        <f t="shared" ca="1" si="13"/>
        <v>6.72323685295434</v>
      </c>
      <c r="E67" s="30">
        <f t="shared" ca="1" si="10"/>
        <v>25.115659222463819</v>
      </c>
      <c r="F67" s="30">
        <f t="shared" ca="1" si="11"/>
        <v>0.58429971212083653</v>
      </c>
      <c r="G67" s="30">
        <v>65</v>
      </c>
      <c r="H67" s="30">
        <f t="shared" ref="H67:H130" si="15">0.99^G67</f>
        <v>0.52034052265030617</v>
      </c>
      <c r="I67" s="30">
        <f t="shared" ref="I67:I130" ca="1" si="16">E67-B67</f>
        <v>12.922010452424274</v>
      </c>
      <c r="J67" s="30">
        <f t="shared" ref="J67:J130" ca="1" si="17">I67/H67</f>
        <v>24.833757683540028</v>
      </c>
      <c r="K67" s="30">
        <f t="shared" ref="K67:K130" ca="1" si="18">IF(I67&lt;0,0,EXP(-J67))</f>
        <v>1.6399706402585283E-11</v>
      </c>
      <c r="L67" s="30">
        <f t="shared" ref="L67:L130" ca="1" si="19">IF(E67&lt;B67,D67,IF(F67&lt;K67,D67,A67))</f>
        <v>5.7954458018836803</v>
      </c>
      <c r="M67" s="1">
        <f t="shared" ref="M67:M130" ca="1" si="20">L67^4-16*L67^3+88*L67^2-190*L67+144</f>
        <v>12.193648770039545</v>
      </c>
    </row>
    <row r="68" spans="1:13" x14ac:dyDescent="0.4">
      <c r="A68" s="1">
        <f t="shared" ca="1" si="12"/>
        <v>5.7954458018836803</v>
      </c>
      <c r="B68" s="30">
        <f t="shared" ref="B68:B131" ca="1" si="21">A68^4-16*A68^3+88*A68^2-190*A68+144</f>
        <v>12.193648770039545</v>
      </c>
      <c r="C68" s="30">
        <f t="shared" ca="1" si="14"/>
        <v>0.75507869632290081</v>
      </c>
      <c r="D68" s="30">
        <f t="shared" ca="1" si="13"/>
        <v>6.5505244982065811</v>
      </c>
      <c r="E68" s="30">
        <f t="shared" ref="E68:E131" ca="1" si="22">D68^4-16*D68^3+88*D68^2-190*D68+144</f>
        <v>19.376951859032943</v>
      </c>
      <c r="F68" s="30">
        <f t="shared" ref="F68:F131" ca="1" si="23">RAND()</f>
        <v>0.95941985838509392</v>
      </c>
      <c r="G68" s="30">
        <v>66</v>
      </c>
      <c r="H68" s="30">
        <f t="shared" si="15"/>
        <v>0.51513711742380308</v>
      </c>
      <c r="I68" s="30">
        <f t="shared" ca="1" si="16"/>
        <v>7.183303088993398</v>
      </c>
      <c r="J68" s="30">
        <f t="shared" ca="1" si="17"/>
        <v>13.944448664303289</v>
      </c>
      <c r="K68" s="30">
        <f t="shared" ca="1" si="18"/>
        <v>8.7902837014585375E-7</v>
      </c>
      <c r="L68" s="30">
        <f t="shared" ca="1" si="19"/>
        <v>5.7954458018836803</v>
      </c>
      <c r="M68" s="1">
        <f t="shared" ca="1" si="20"/>
        <v>12.193648770039545</v>
      </c>
    </row>
    <row r="69" spans="1:13" x14ac:dyDescent="0.4">
      <c r="A69" s="1">
        <f t="shared" ca="1" si="12"/>
        <v>5.7954458018836803</v>
      </c>
      <c r="B69" s="30">
        <f t="shared" ca="1" si="21"/>
        <v>12.193648770039545</v>
      </c>
      <c r="C69" s="30">
        <f t="shared" ca="1" si="14"/>
        <v>-0.53391985212652893</v>
      </c>
      <c r="D69" s="30">
        <f t="shared" ca="1" si="13"/>
        <v>5.2615259497571518</v>
      </c>
      <c r="E69" s="30">
        <f t="shared" ca="1" si="22"/>
        <v>16.324175975803769</v>
      </c>
      <c r="F69" s="30">
        <f t="shared" ca="1" si="23"/>
        <v>0.91797171020171942</v>
      </c>
      <c r="G69" s="30">
        <v>67</v>
      </c>
      <c r="H69" s="30">
        <f t="shared" si="15"/>
        <v>0.50998574624956505</v>
      </c>
      <c r="I69" s="30">
        <f t="shared" ca="1" si="16"/>
        <v>4.1305272057642242</v>
      </c>
      <c r="J69" s="30">
        <f t="shared" ca="1" si="17"/>
        <v>8.0992993159909261</v>
      </c>
      <c r="K69" s="30">
        <f t="shared" ca="1" si="18"/>
        <v>3.037518976289492E-4</v>
      </c>
      <c r="L69" s="30">
        <f t="shared" ca="1" si="19"/>
        <v>5.7954458018836803</v>
      </c>
      <c r="M69" s="1">
        <f t="shared" ca="1" si="20"/>
        <v>12.193648770039545</v>
      </c>
    </row>
    <row r="70" spans="1:13" x14ac:dyDescent="0.4">
      <c r="A70" s="1">
        <f t="shared" ca="1" si="12"/>
        <v>5.7954458018836803</v>
      </c>
      <c r="B70" s="30">
        <f t="shared" ca="1" si="21"/>
        <v>12.193648770039545</v>
      </c>
      <c r="C70" s="30">
        <f t="shared" ca="1" si="14"/>
        <v>0.58466916839104921</v>
      </c>
      <c r="D70" s="30">
        <f t="shared" ca="1" si="13"/>
        <v>6.3801149702747297</v>
      </c>
      <c r="E70" s="30">
        <f t="shared" ca="1" si="22"/>
        <v>15.532279358177448</v>
      </c>
      <c r="F70" s="30">
        <f t="shared" ca="1" si="23"/>
        <v>0.64390138933227703</v>
      </c>
      <c r="G70" s="30">
        <v>68</v>
      </c>
      <c r="H70" s="30">
        <f t="shared" si="15"/>
        <v>0.50488588878706941</v>
      </c>
      <c r="I70" s="30">
        <f t="shared" ca="1" si="16"/>
        <v>3.338630588137903</v>
      </c>
      <c r="J70" s="30">
        <f t="shared" ca="1" si="17"/>
        <v>6.6126438909960052</v>
      </c>
      <c r="K70" s="30">
        <f t="shared" ca="1" si="18"/>
        <v>1.3432759751590756E-3</v>
      </c>
      <c r="L70" s="30">
        <f t="shared" ca="1" si="19"/>
        <v>5.7954458018836803</v>
      </c>
      <c r="M70" s="1">
        <f t="shared" ca="1" si="20"/>
        <v>12.193648770039545</v>
      </c>
    </row>
    <row r="71" spans="1:13" x14ac:dyDescent="0.4">
      <c r="A71" s="1">
        <f t="shared" ca="1" si="12"/>
        <v>5.7954458018836803</v>
      </c>
      <c r="B71" s="30">
        <f t="shared" ca="1" si="21"/>
        <v>12.193648770039545</v>
      </c>
      <c r="C71" s="30">
        <f t="shared" ca="1" si="14"/>
        <v>0.80715890311646588</v>
      </c>
      <c r="D71" s="30">
        <f t="shared" ca="1" si="13"/>
        <v>6.6026047050001466</v>
      </c>
      <c r="E71" s="30">
        <f t="shared" ca="1" si="22"/>
        <v>20.897795949088504</v>
      </c>
      <c r="F71" s="30">
        <f t="shared" ca="1" si="23"/>
        <v>0.48931636373056475</v>
      </c>
      <c r="G71" s="30">
        <v>69</v>
      </c>
      <c r="H71" s="30">
        <f t="shared" si="15"/>
        <v>0.49983702989919865</v>
      </c>
      <c r="I71" s="30">
        <f t="shared" ca="1" si="16"/>
        <v>8.7041471790489595</v>
      </c>
      <c r="J71" s="30">
        <f t="shared" ca="1" si="17"/>
        <v>17.413970271078778</v>
      </c>
      <c r="K71" s="30">
        <f t="shared" ca="1" si="18"/>
        <v>2.7365841247831931E-8</v>
      </c>
      <c r="L71" s="30">
        <f t="shared" ca="1" si="19"/>
        <v>5.7954458018836803</v>
      </c>
      <c r="M71" s="1">
        <f t="shared" ca="1" si="20"/>
        <v>12.193648770039545</v>
      </c>
    </row>
    <row r="72" spans="1:13" x14ac:dyDescent="0.4">
      <c r="A72" s="1">
        <f t="shared" ca="1" si="12"/>
        <v>5.7954458018836803</v>
      </c>
      <c r="B72" s="30">
        <f t="shared" ca="1" si="21"/>
        <v>12.193648770039545</v>
      </c>
      <c r="C72" s="30">
        <f t="shared" ca="1" si="14"/>
        <v>0.62681311453615973</v>
      </c>
      <c r="D72" s="30">
        <f t="shared" ca="1" si="13"/>
        <v>6.4222589164198398</v>
      </c>
      <c r="E72" s="30">
        <f t="shared" ca="1" si="22"/>
        <v>16.331470003285176</v>
      </c>
      <c r="F72" s="30">
        <f t="shared" ca="1" si="23"/>
        <v>0.73670530389255096</v>
      </c>
      <c r="G72" s="30">
        <v>70</v>
      </c>
      <c r="H72" s="30">
        <f t="shared" si="15"/>
        <v>0.49483865960020668</v>
      </c>
      <c r="I72" s="30">
        <f t="shared" ca="1" si="16"/>
        <v>4.1378212332456314</v>
      </c>
      <c r="J72" s="30">
        <f t="shared" ca="1" si="17"/>
        <v>8.3619603136680691</v>
      </c>
      <c r="K72" s="30">
        <f t="shared" ca="1" si="18"/>
        <v>2.3358598286528717E-4</v>
      </c>
      <c r="L72" s="30">
        <f t="shared" ca="1" si="19"/>
        <v>5.7954458018836803</v>
      </c>
      <c r="M72" s="1">
        <f t="shared" ca="1" si="20"/>
        <v>12.193648770039545</v>
      </c>
    </row>
    <row r="73" spans="1:13" x14ac:dyDescent="0.4">
      <c r="A73" s="1">
        <f t="shared" ca="1" si="12"/>
        <v>5.7954458018836803</v>
      </c>
      <c r="B73" s="30">
        <f t="shared" ca="1" si="21"/>
        <v>12.193648770039545</v>
      </c>
      <c r="C73" s="30">
        <f t="shared" ca="1" si="14"/>
        <v>0.15442758744755647</v>
      </c>
      <c r="D73" s="30">
        <f t="shared" ca="1" si="13"/>
        <v>5.9498733893312368</v>
      </c>
      <c r="E73" s="30">
        <f t="shared" ca="1" si="22"/>
        <v>11.938948309869829</v>
      </c>
      <c r="F73" s="30">
        <f t="shared" ca="1" si="23"/>
        <v>0.2850822614147166</v>
      </c>
      <c r="G73" s="30">
        <v>71</v>
      </c>
      <c r="H73" s="30">
        <f t="shared" si="15"/>
        <v>0.48989027300420462</v>
      </c>
      <c r="I73" s="30">
        <f t="shared" ca="1" si="16"/>
        <v>-0.25470046016971537</v>
      </c>
      <c r="J73" s="30">
        <f t="shared" ca="1" si="17"/>
        <v>-0.51991328304558793</v>
      </c>
      <c r="K73" s="30">
        <f t="shared" ca="1" si="18"/>
        <v>0</v>
      </c>
      <c r="L73" s="30">
        <f t="shared" ca="1" si="19"/>
        <v>5.9498733893312368</v>
      </c>
      <c r="M73" s="1">
        <f t="shared" ca="1" si="20"/>
        <v>11.938948309869829</v>
      </c>
    </row>
    <row r="74" spans="1:13" x14ac:dyDescent="0.4">
      <c r="A74" s="1">
        <f t="shared" ca="1" si="12"/>
        <v>5.9498733893312368</v>
      </c>
      <c r="B74" s="30">
        <f t="shared" ca="1" si="21"/>
        <v>11.938948309869829</v>
      </c>
      <c r="C74" s="30">
        <f t="shared" ca="1" si="14"/>
        <v>0.43675616583395427</v>
      </c>
      <c r="D74" s="30">
        <f t="shared" ca="1" si="13"/>
        <v>6.3866295551651913</v>
      </c>
      <c r="E74" s="30">
        <f t="shared" ca="1" si="22"/>
        <v>15.649677259461669</v>
      </c>
      <c r="F74" s="30">
        <f t="shared" ca="1" si="23"/>
        <v>0.50113338848935562</v>
      </c>
      <c r="G74" s="30">
        <v>72</v>
      </c>
      <c r="H74" s="30">
        <f t="shared" si="15"/>
        <v>0.4849913702741625</v>
      </c>
      <c r="I74" s="30">
        <f t="shared" ca="1" si="16"/>
        <v>3.7107289495918394</v>
      </c>
      <c r="J74" s="30">
        <f t="shared" ca="1" si="17"/>
        <v>7.6511236632812416</v>
      </c>
      <c r="K74" s="30">
        <f t="shared" ca="1" si="18"/>
        <v>4.7550951613292426E-4</v>
      </c>
      <c r="L74" s="30">
        <f t="shared" ca="1" si="19"/>
        <v>5.9498733893312368</v>
      </c>
      <c r="M74" s="1">
        <f t="shared" ca="1" si="20"/>
        <v>11.938948309869829</v>
      </c>
    </row>
    <row r="75" spans="1:13" x14ac:dyDescent="0.4">
      <c r="A75" s="1">
        <f t="shared" ca="1" si="12"/>
        <v>5.9498733893312368</v>
      </c>
      <c r="B75" s="30">
        <f t="shared" ca="1" si="21"/>
        <v>11.938948309869829</v>
      </c>
      <c r="C75" s="30">
        <f t="shared" ca="1" si="14"/>
        <v>-0.53154832706454824</v>
      </c>
      <c r="D75" s="30">
        <f t="shared" ca="1" si="13"/>
        <v>5.418325062266689</v>
      </c>
      <c r="E75" s="30">
        <f t="shared" ca="1" si="22"/>
        <v>14.790201824420819</v>
      </c>
      <c r="F75" s="30">
        <f t="shared" ca="1" si="23"/>
        <v>0.35261568712518698</v>
      </c>
      <c r="G75" s="30">
        <v>73</v>
      </c>
      <c r="H75" s="30">
        <f t="shared" si="15"/>
        <v>0.48014145657142088</v>
      </c>
      <c r="I75" s="30">
        <f t="shared" ca="1" si="16"/>
        <v>2.8512535145509901</v>
      </c>
      <c r="J75" s="30">
        <f t="shared" ca="1" si="17"/>
        <v>5.9383614464602417</v>
      </c>
      <c r="K75" s="30">
        <f t="shared" ca="1" si="18"/>
        <v>2.6363459077577882E-3</v>
      </c>
      <c r="L75" s="30">
        <f t="shared" ca="1" si="19"/>
        <v>5.9498733893312368</v>
      </c>
      <c r="M75" s="1">
        <f t="shared" ca="1" si="20"/>
        <v>11.938948309869829</v>
      </c>
    </row>
    <row r="76" spans="1:13" x14ac:dyDescent="0.4">
      <c r="A76" s="1">
        <f t="shared" ca="1" si="12"/>
        <v>5.9498733893312368</v>
      </c>
      <c r="B76" s="30">
        <f t="shared" ca="1" si="21"/>
        <v>11.938948309869829</v>
      </c>
      <c r="C76" s="30">
        <f t="shared" ca="1" si="14"/>
        <v>-0.51550182759493035</v>
      </c>
      <c r="D76" s="30">
        <f t="shared" ca="1" si="13"/>
        <v>5.434371561736306</v>
      </c>
      <c r="E76" s="30">
        <f t="shared" ca="1" si="22"/>
        <v>14.642353275488631</v>
      </c>
      <c r="F76" s="30">
        <f t="shared" ca="1" si="23"/>
        <v>0.5537220402505364</v>
      </c>
      <c r="G76" s="30">
        <v>74</v>
      </c>
      <c r="H76" s="30">
        <f t="shared" si="15"/>
        <v>0.47534004200570668</v>
      </c>
      <c r="I76" s="30">
        <f t="shared" ca="1" si="16"/>
        <v>2.7034049656188017</v>
      </c>
      <c r="J76" s="30">
        <f t="shared" ca="1" si="17"/>
        <v>5.6873074572294211</v>
      </c>
      <c r="K76" s="30">
        <f t="shared" ca="1" si="18"/>
        <v>3.388704929660322E-3</v>
      </c>
      <c r="L76" s="30">
        <f t="shared" ca="1" si="19"/>
        <v>5.9498733893312368</v>
      </c>
      <c r="M76" s="1">
        <f t="shared" ca="1" si="20"/>
        <v>11.938948309869829</v>
      </c>
    </row>
    <row r="77" spans="1:13" x14ac:dyDescent="0.4">
      <c r="A77" s="1">
        <f t="shared" ca="1" si="12"/>
        <v>5.9498733893312368</v>
      </c>
      <c r="B77" s="30">
        <f t="shared" ca="1" si="21"/>
        <v>11.938948309869829</v>
      </c>
      <c r="C77" s="30">
        <f t="shared" ca="1" si="14"/>
        <v>0.92973773771814749</v>
      </c>
      <c r="D77" s="30">
        <f t="shared" ca="1" si="13"/>
        <v>6.879611127049384</v>
      </c>
      <c r="E77" s="30">
        <f t="shared" ca="1" si="22"/>
        <v>32.181861805917379</v>
      </c>
      <c r="F77" s="30">
        <f t="shared" ca="1" si="23"/>
        <v>0.60282932082806695</v>
      </c>
      <c r="G77" s="30">
        <v>75</v>
      </c>
      <c r="H77" s="30">
        <f t="shared" si="15"/>
        <v>0.47058664158564961</v>
      </c>
      <c r="I77" s="30">
        <f t="shared" ca="1" si="16"/>
        <v>20.242913496047549</v>
      </c>
      <c r="J77" s="30">
        <f t="shared" ca="1" si="17"/>
        <v>43.016336859539216</v>
      </c>
      <c r="K77" s="30">
        <f t="shared" ca="1" si="18"/>
        <v>2.0808571649292986E-19</v>
      </c>
      <c r="L77" s="30">
        <f t="shared" ca="1" si="19"/>
        <v>5.9498733893312368</v>
      </c>
      <c r="M77" s="1">
        <f t="shared" ca="1" si="20"/>
        <v>11.938948309869829</v>
      </c>
    </row>
    <row r="78" spans="1:13" x14ac:dyDescent="0.4">
      <c r="A78" s="1">
        <f t="shared" ca="1" si="12"/>
        <v>5.9498733893312368</v>
      </c>
      <c r="B78" s="30">
        <f t="shared" ca="1" si="21"/>
        <v>11.938948309869829</v>
      </c>
      <c r="C78" s="30">
        <f t="shared" ca="1" si="14"/>
        <v>0.64735187510045322</v>
      </c>
      <c r="D78" s="30">
        <f t="shared" ca="1" si="13"/>
        <v>6.5972252644316898</v>
      </c>
      <c r="E78" s="30">
        <f t="shared" ca="1" si="22"/>
        <v>20.7326549815607</v>
      </c>
      <c r="F78" s="30">
        <f t="shared" ca="1" si="23"/>
        <v>0.28492409669777174</v>
      </c>
      <c r="G78" s="30">
        <v>76</v>
      </c>
      <c r="H78" s="30">
        <f t="shared" si="15"/>
        <v>0.46588077516979315</v>
      </c>
      <c r="I78" s="30">
        <f t="shared" ca="1" si="16"/>
        <v>8.7937066716908703</v>
      </c>
      <c r="J78" s="30">
        <f t="shared" ca="1" si="17"/>
        <v>18.875444406320369</v>
      </c>
      <c r="K78" s="30">
        <f t="shared" ca="1" si="18"/>
        <v>6.3459792959869054E-9</v>
      </c>
      <c r="L78" s="30">
        <f t="shared" ca="1" si="19"/>
        <v>5.9498733893312368</v>
      </c>
      <c r="M78" s="1">
        <f t="shared" ca="1" si="20"/>
        <v>11.938948309869829</v>
      </c>
    </row>
    <row r="79" spans="1:13" x14ac:dyDescent="0.4">
      <c r="A79" s="1">
        <f t="shared" ca="1" si="12"/>
        <v>5.9498733893312368</v>
      </c>
      <c r="B79" s="30">
        <f t="shared" ca="1" si="21"/>
        <v>11.938948309869829</v>
      </c>
      <c r="C79" s="30">
        <f t="shared" ca="1" si="14"/>
        <v>-0.11132996203102108</v>
      </c>
      <c r="D79" s="30">
        <f t="shared" ca="1" si="13"/>
        <v>5.8385434273002161</v>
      </c>
      <c r="E79" s="30">
        <f t="shared" ca="1" si="22"/>
        <v>12.06118691488723</v>
      </c>
      <c r="F79" s="30">
        <f t="shared" ca="1" si="23"/>
        <v>0.7292321496766716</v>
      </c>
      <c r="G79" s="30">
        <v>77</v>
      </c>
      <c r="H79" s="30">
        <f t="shared" si="15"/>
        <v>0.46122196741809512</v>
      </c>
      <c r="I79" s="30">
        <f t="shared" ca="1" si="16"/>
        <v>0.12223860501740091</v>
      </c>
      <c r="J79" s="30">
        <f t="shared" ca="1" si="17"/>
        <v>0.2650320532252366</v>
      </c>
      <c r="K79" s="30">
        <f t="shared" ca="1" si="18"/>
        <v>0.76718135894485129</v>
      </c>
      <c r="L79" s="30">
        <f t="shared" ca="1" si="19"/>
        <v>5.8385434273002161</v>
      </c>
      <c r="M79" s="1">
        <f t="shared" ca="1" si="20"/>
        <v>12.06118691488723</v>
      </c>
    </row>
    <row r="80" spans="1:13" x14ac:dyDescent="0.4">
      <c r="A80" s="1">
        <f t="shared" ca="1" si="12"/>
        <v>5.8385434273002161</v>
      </c>
      <c r="B80" s="30">
        <f t="shared" ca="1" si="21"/>
        <v>12.06118691488723</v>
      </c>
      <c r="C80" s="30">
        <f t="shared" ca="1" si="14"/>
        <v>0.29498724822834155</v>
      </c>
      <c r="D80" s="30">
        <f t="shared" ca="1" si="13"/>
        <v>6.1335306755285579</v>
      </c>
      <c r="E80" s="30">
        <f t="shared" ca="1" si="22"/>
        <v>12.571713623589403</v>
      </c>
      <c r="F80" s="30">
        <f t="shared" ca="1" si="23"/>
        <v>1.0242609689400939E-2</v>
      </c>
      <c r="G80" s="30">
        <v>78</v>
      </c>
      <c r="H80" s="30">
        <f t="shared" si="15"/>
        <v>0.45660974774391422</v>
      </c>
      <c r="I80" s="30">
        <f t="shared" ca="1" si="16"/>
        <v>0.51052670870217298</v>
      </c>
      <c r="J80" s="30">
        <f t="shared" ca="1" si="17"/>
        <v>1.11808105548482</v>
      </c>
      <c r="K80" s="30">
        <f t="shared" ca="1" si="18"/>
        <v>0.32690650856767384</v>
      </c>
      <c r="L80" s="30">
        <f t="shared" ca="1" si="19"/>
        <v>6.1335306755285579</v>
      </c>
      <c r="M80" s="1">
        <f t="shared" ca="1" si="20"/>
        <v>12.571713623589403</v>
      </c>
    </row>
    <row r="81" spans="1:13" x14ac:dyDescent="0.4">
      <c r="A81" s="1">
        <f t="shared" ca="1" si="12"/>
        <v>6.1335306755285579</v>
      </c>
      <c r="B81" s="30">
        <f t="shared" ca="1" si="21"/>
        <v>12.571713623589403</v>
      </c>
      <c r="C81" s="30">
        <f t="shared" ca="1" si="14"/>
        <v>-0.13431003115235574</v>
      </c>
      <c r="D81" s="30">
        <f t="shared" ca="1" si="13"/>
        <v>5.9992206443762024</v>
      </c>
      <c r="E81" s="30">
        <f t="shared" ca="1" si="22"/>
        <v>11.998451003288892</v>
      </c>
      <c r="F81" s="30">
        <f t="shared" ca="1" si="23"/>
        <v>0.15011537792789686</v>
      </c>
      <c r="G81" s="30">
        <v>79</v>
      </c>
      <c r="H81" s="30">
        <f t="shared" si="15"/>
        <v>0.45204365026647508</v>
      </c>
      <c r="I81" s="30">
        <f t="shared" ca="1" si="16"/>
        <v>-0.57326262030051112</v>
      </c>
      <c r="J81" s="30">
        <f t="shared" ca="1" si="17"/>
        <v>-1.268157665664762</v>
      </c>
      <c r="K81" s="30">
        <f t="shared" ca="1" si="18"/>
        <v>0</v>
      </c>
      <c r="L81" s="30">
        <f t="shared" ca="1" si="19"/>
        <v>5.9992206443762024</v>
      </c>
      <c r="M81" s="1">
        <f t="shared" ca="1" si="20"/>
        <v>11.998451003288892</v>
      </c>
    </row>
    <row r="82" spans="1:13" x14ac:dyDescent="0.4">
      <c r="A82" s="1">
        <f t="shared" ca="1" si="12"/>
        <v>5.9992206443762024</v>
      </c>
      <c r="B82" s="30">
        <f t="shared" ca="1" si="21"/>
        <v>11.998451003288892</v>
      </c>
      <c r="C82" s="30">
        <f t="shared" ca="1" si="14"/>
        <v>0.3320086184470743</v>
      </c>
      <c r="D82" s="30">
        <f t="shared" ca="1" si="13"/>
        <v>6.3312292628232765</v>
      </c>
      <c r="E82" s="30">
        <f t="shared" ca="1" si="22"/>
        <v>14.720621406309419</v>
      </c>
      <c r="F82" s="30">
        <f t="shared" ca="1" si="23"/>
        <v>6.1420143475267919E-2</v>
      </c>
      <c r="G82" s="30">
        <v>80</v>
      </c>
      <c r="H82" s="30">
        <f t="shared" si="15"/>
        <v>0.44752321376381032</v>
      </c>
      <c r="I82" s="30">
        <f t="shared" ca="1" si="16"/>
        <v>2.7221704030205274</v>
      </c>
      <c r="J82" s="30">
        <f t="shared" ca="1" si="17"/>
        <v>6.0827468146874928</v>
      </c>
      <c r="K82" s="30">
        <f t="shared" ca="1" si="18"/>
        <v>2.2819000799221864E-3</v>
      </c>
      <c r="L82" s="30">
        <f t="shared" ca="1" si="19"/>
        <v>5.9992206443762024</v>
      </c>
      <c r="M82" s="1">
        <f t="shared" ca="1" si="20"/>
        <v>11.998451003288892</v>
      </c>
    </row>
    <row r="83" spans="1:13" x14ac:dyDescent="0.4">
      <c r="A83" s="1">
        <f t="shared" ca="1" si="12"/>
        <v>5.9992206443762024</v>
      </c>
      <c r="B83" s="30">
        <f t="shared" ca="1" si="21"/>
        <v>11.998451003288892</v>
      </c>
      <c r="C83" s="30">
        <f t="shared" ca="1" si="14"/>
        <v>0.2389357350897896</v>
      </c>
      <c r="D83" s="30">
        <f t="shared" ca="1" si="13"/>
        <v>6.238156379465992</v>
      </c>
      <c r="E83" s="30">
        <f t="shared" ca="1" si="22"/>
        <v>13.495088026762915</v>
      </c>
      <c r="F83" s="30">
        <f t="shared" ca="1" si="23"/>
        <v>0.35403652574298661</v>
      </c>
      <c r="G83" s="30">
        <v>81</v>
      </c>
      <c r="H83" s="30">
        <f t="shared" si="15"/>
        <v>0.4430479816261722</v>
      </c>
      <c r="I83" s="30">
        <f t="shared" ca="1" si="16"/>
        <v>1.4966370234740225</v>
      </c>
      <c r="J83" s="30">
        <f t="shared" ca="1" si="17"/>
        <v>3.378047266981639</v>
      </c>
      <c r="K83" s="30">
        <f t="shared" ca="1" si="18"/>
        <v>3.4114005280227309E-2</v>
      </c>
      <c r="L83" s="30">
        <f t="shared" ca="1" si="19"/>
        <v>5.9992206443762024</v>
      </c>
      <c r="M83" s="1">
        <f t="shared" ca="1" si="20"/>
        <v>11.998451003288892</v>
      </c>
    </row>
    <row r="84" spans="1:13" x14ac:dyDescent="0.4">
      <c r="A84" s="1">
        <f t="shared" ca="1" si="12"/>
        <v>5.9992206443762024</v>
      </c>
      <c r="B84" s="30">
        <f t="shared" ca="1" si="21"/>
        <v>11.998451003288892</v>
      </c>
      <c r="C84" s="30">
        <f t="shared" ca="1" si="14"/>
        <v>-0.23734612336109961</v>
      </c>
      <c r="D84" s="30">
        <f t="shared" ca="1" si="13"/>
        <v>5.7618745210151028</v>
      </c>
      <c r="E84" s="30">
        <f t="shared" ca="1" si="22"/>
        <v>12.326203407342973</v>
      </c>
      <c r="F84" s="30">
        <f t="shared" ca="1" si="23"/>
        <v>0.58294654145250413</v>
      </c>
      <c r="G84" s="30">
        <v>82</v>
      </c>
      <c r="H84" s="30">
        <f t="shared" si="15"/>
        <v>0.43861750180991049</v>
      </c>
      <c r="I84" s="30">
        <f t="shared" ca="1" si="16"/>
        <v>0.32775240405408113</v>
      </c>
      <c r="J84" s="30">
        <f t="shared" ca="1" si="17"/>
        <v>0.74723968537881913</v>
      </c>
      <c r="K84" s="30">
        <f t="shared" ca="1" si="18"/>
        <v>0.47367223425996069</v>
      </c>
      <c r="L84" s="30">
        <f t="shared" ca="1" si="19"/>
        <v>5.9992206443762024</v>
      </c>
      <c r="M84" s="1">
        <f t="shared" ca="1" si="20"/>
        <v>11.998451003288892</v>
      </c>
    </row>
    <row r="85" spans="1:13" x14ac:dyDescent="0.4">
      <c r="A85" s="1">
        <f t="shared" ca="1" si="12"/>
        <v>5.9992206443762024</v>
      </c>
      <c r="B85" s="30">
        <f t="shared" ca="1" si="21"/>
        <v>11.998451003288892</v>
      </c>
      <c r="C85" s="30">
        <f t="shared" ca="1" si="14"/>
        <v>-0.39981433641566055</v>
      </c>
      <c r="D85" s="30">
        <f t="shared" ca="1" si="13"/>
        <v>5.5994063079605416</v>
      </c>
      <c r="E85" s="30">
        <f t="shared" ca="1" si="22"/>
        <v>13.277886674598903</v>
      </c>
      <c r="F85" s="30">
        <f t="shared" ca="1" si="23"/>
        <v>0.39408557692192425</v>
      </c>
      <c r="G85" s="30">
        <v>83</v>
      </c>
      <c r="H85" s="30">
        <f t="shared" si="15"/>
        <v>0.43423132679181131</v>
      </c>
      <c r="I85" s="30">
        <f t="shared" ca="1" si="16"/>
        <v>1.2794356713100115</v>
      </c>
      <c r="J85" s="30">
        <f t="shared" ca="1" si="17"/>
        <v>2.9464379752671013</v>
      </c>
      <c r="K85" s="30">
        <f t="shared" ca="1" si="18"/>
        <v>5.2526473713756995E-2</v>
      </c>
      <c r="L85" s="30">
        <f t="shared" ca="1" si="19"/>
        <v>5.9992206443762024</v>
      </c>
      <c r="M85" s="1">
        <f t="shared" ca="1" si="20"/>
        <v>11.998451003288892</v>
      </c>
    </row>
    <row r="86" spans="1:13" x14ac:dyDescent="0.4">
      <c r="A86" s="1">
        <f t="shared" ca="1" si="12"/>
        <v>5.9992206443762024</v>
      </c>
      <c r="B86" s="30">
        <f t="shared" ca="1" si="21"/>
        <v>11.998451003288892</v>
      </c>
      <c r="C86" s="30">
        <f t="shared" ca="1" si="14"/>
        <v>0.18843779162103158</v>
      </c>
      <c r="D86" s="30">
        <f t="shared" ca="1" si="13"/>
        <v>6.1876584359972338</v>
      </c>
      <c r="E86" s="30">
        <f t="shared" ca="1" si="22"/>
        <v>12.992876202695925</v>
      </c>
      <c r="F86" s="30">
        <f t="shared" ca="1" si="23"/>
        <v>0.8373115733159967</v>
      </c>
      <c r="G86" s="30">
        <v>84</v>
      </c>
      <c r="H86" s="30">
        <f t="shared" si="15"/>
        <v>0.42988901352389325</v>
      </c>
      <c r="I86" s="30">
        <f t="shared" ca="1" si="16"/>
        <v>0.99442519940703278</v>
      </c>
      <c r="J86" s="30">
        <f t="shared" ca="1" si="17"/>
        <v>2.3132138019892956</v>
      </c>
      <c r="K86" s="30">
        <f t="shared" ca="1" si="18"/>
        <v>9.8942757614291832E-2</v>
      </c>
      <c r="L86" s="30">
        <f t="shared" ca="1" si="19"/>
        <v>5.9992206443762024</v>
      </c>
      <c r="M86" s="1">
        <f t="shared" ca="1" si="20"/>
        <v>11.998451003288892</v>
      </c>
    </row>
    <row r="87" spans="1:13" x14ac:dyDescent="0.4">
      <c r="A87" s="1">
        <f t="shared" ca="1" si="12"/>
        <v>5.9992206443762024</v>
      </c>
      <c r="B87" s="30">
        <f t="shared" ca="1" si="21"/>
        <v>11.998451003288892</v>
      </c>
      <c r="C87" s="30">
        <f t="shared" ca="1" si="14"/>
        <v>-0.72729338715438452</v>
      </c>
      <c r="D87" s="30">
        <f t="shared" ca="1" si="13"/>
        <v>5.2719272572218179</v>
      </c>
      <c r="E87" s="30">
        <f t="shared" ca="1" si="22"/>
        <v>16.218736368194982</v>
      </c>
      <c r="F87" s="30">
        <f t="shared" ca="1" si="23"/>
        <v>7.4606596953417648E-2</v>
      </c>
      <c r="G87" s="30">
        <v>85</v>
      </c>
      <c r="H87" s="30">
        <f t="shared" si="15"/>
        <v>0.42559012338865432</v>
      </c>
      <c r="I87" s="30">
        <f t="shared" ca="1" si="16"/>
        <v>4.2202853649060899</v>
      </c>
      <c r="J87" s="30">
        <f t="shared" ca="1" si="17"/>
        <v>9.9163141552795651</v>
      </c>
      <c r="K87" s="30">
        <f t="shared" ca="1" si="18"/>
        <v>4.9362765377064542E-5</v>
      </c>
      <c r="L87" s="30">
        <f t="shared" ca="1" si="19"/>
        <v>5.9992206443762024</v>
      </c>
      <c r="M87" s="1">
        <f t="shared" ca="1" si="20"/>
        <v>11.998451003288892</v>
      </c>
    </row>
    <row r="88" spans="1:13" x14ac:dyDescent="0.4">
      <c r="A88" s="1">
        <f t="shared" ca="1" si="12"/>
        <v>5.9992206443762024</v>
      </c>
      <c r="B88" s="30">
        <f t="shared" ca="1" si="21"/>
        <v>11.998451003288892</v>
      </c>
      <c r="C88" s="30">
        <f t="shared" ca="1" si="14"/>
        <v>0.64835808897115932</v>
      </c>
      <c r="D88" s="30">
        <f t="shared" ca="1" si="13"/>
        <v>6.6475787333473617</v>
      </c>
      <c r="E88" s="30">
        <f t="shared" ca="1" si="22"/>
        <v>22.353289932151029</v>
      </c>
      <c r="F88" s="30">
        <f t="shared" ca="1" si="23"/>
        <v>0.44859938515340181</v>
      </c>
      <c r="G88" s="30">
        <v>86</v>
      </c>
      <c r="H88" s="30">
        <f t="shared" si="15"/>
        <v>0.42133422215476773</v>
      </c>
      <c r="I88" s="30">
        <f t="shared" ca="1" si="16"/>
        <v>10.354838928862137</v>
      </c>
      <c r="J88" s="30">
        <f t="shared" ca="1" si="17"/>
        <v>24.576306372423073</v>
      </c>
      <c r="K88" s="30">
        <f t="shared" ca="1" si="18"/>
        <v>2.121513290923427E-11</v>
      </c>
      <c r="L88" s="30">
        <f t="shared" ca="1" si="19"/>
        <v>5.9992206443762024</v>
      </c>
      <c r="M88" s="1">
        <f t="shared" ca="1" si="20"/>
        <v>11.998451003288892</v>
      </c>
    </row>
    <row r="89" spans="1:13" x14ac:dyDescent="0.4">
      <c r="A89" s="1">
        <f t="shared" ca="1" si="12"/>
        <v>5.9992206443762024</v>
      </c>
      <c r="B89" s="30">
        <f t="shared" ca="1" si="21"/>
        <v>11.998451003288892</v>
      </c>
      <c r="C89" s="30">
        <f t="shared" ca="1" si="14"/>
        <v>-0.9318530840720789</v>
      </c>
      <c r="D89" s="30">
        <f t="shared" ca="1" si="13"/>
        <v>5.0673675603041239</v>
      </c>
      <c r="E89" s="30">
        <f t="shared" ca="1" si="22"/>
        <v>18.318491178121235</v>
      </c>
      <c r="F89" s="30">
        <f t="shared" ca="1" si="23"/>
        <v>0.28263835932755477</v>
      </c>
      <c r="G89" s="30">
        <v>87</v>
      </c>
      <c r="H89" s="30">
        <f t="shared" si="15"/>
        <v>0.41712087993322011</v>
      </c>
      <c r="I89" s="30">
        <f t="shared" ca="1" si="16"/>
        <v>6.3200401748323429</v>
      </c>
      <c r="J89" s="30">
        <f t="shared" ca="1" si="17"/>
        <v>15.151579503390392</v>
      </c>
      <c r="K89" s="30">
        <f t="shared" ca="1" si="18"/>
        <v>2.6287702402257008E-7</v>
      </c>
      <c r="L89" s="30">
        <f t="shared" ca="1" si="19"/>
        <v>5.9992206443762024</v>
      </c>
      <c r="M89" s="1">
        <f t="shared" ca="1" si="20"/>
        <v>11.998451003288892</v>
      </c>
    </row>
    <row r="90" spans="1:13" x14ac:dyDescent="0.4">
      <c r="A90" s="1">
        <f t="shared" ca="1" si="12"/>
        <v>5.9992206443762024</v>
      </c>
      <c r="B90" s="30">
        <f t="shared" ca="1" si="21"/>
        <v>11.998451003288892</v>
      </c>
      <c r="C90" s="30">
        <f t="shared" ca="1" si="14"/>
        <v>-0.58356115508224859</v>
      </c>
      <c r="D90" s="30">
        <f t="shared" ca="1" si="13"/>
        <v>5.4156594892939536</v>
      </c>
      <c r="E90" s="30">
        <f t="shared" ca="1" si="22"/>
        <v>14.814968562818422</v>
      </c>
      <c r="F90" s="30">
        <f t="shared" ca="1" si="23"/>
        <v>0.6030642031758201</v>
      </c>
      <c r="G90" s="30">
        <v>88</v>
      </c>
      <c r="H90" s="30">
        <f t="shared" si="15"/>
        <v>0.41294967113388786</v>
      </c>
      <c r="I90" s="30">
        <f t="shared" ca="1" si="16"/>
        <v>2.8165175595295295</v>
      </c>
      <c r="J90" s="30">
        <f t="shared" ca="1" si="17"/>
        <v>6.8204862636065622</v>
      </c>
      <c r="K90" s="30">
        <f t="shared" ca="1" si="18"/>
        <v>1.091190187175525E-3</v>
      </c>
      <c r="L90" s="30">
        <f t="shared" ca="1" si="19"/>
        <v>5.9992206443762024</v>
      </c>
      <c r="M90" s="1">
        <f t="shared" ca="1" si="20"/>
        <v>11.998451003288892</v>
      </c>
    </row>
    <row r="91" spans="1:13" x14ac:dyDescent="0.4">
      <c r="A91" s="1">
        <f t="shared" ca="1" si="12"/>
        <v>5.9992206443762024</v>
      </c>
      <c r="B91" s="30">
        <f t="shared" ca="1" si="21"/>
        <v>11.998451003288892</v>
      </c>
      <c r="C91" s="30">
        <f t="shared" ca="1" si="14"/>
        <v>-0.28986354391647429</v>
      </c>
      <c r="D91" s="30">
        <f t="shared" ca="1" si="13"/>
        <v>5.7093571004597283</v>
      </c>
      <c r="E91" s="30">
        <f t="shared" ca="1" si="22"/>
        <v>12.581010152083763</v>
      </c>
      <c r="F91" s="30">
        <f t="shared" ca="1" si="23"/>
        <v>0.48814606317392706</v>
      </c>
      <c r="G91" s="30">
        <v>89</v>
      </c>
      <c r="H91" s="30">
        <f t="shared" si="15"/>
        <v>0.40882017442254898</v>
      </c>
      <c r="I91" s="30">
        <f t="shared" ca="1" si="16"/>
        <v>0.58255914879487136</v>
      </c>
      <c r="J91" s="30">
        <f t="shared" ca="1" si="17"/>
        <v>1.4249765183866612</v>
      </c>
      <c r="K91" s="30">
        <f t="shared" ca="1" si="18"/>
        <v>0.24051411080138696</v>
      </c>
      <c r="L91" s="30">
        <f t="shared" ca="1" si="19"/>
        <v>5.9992206443762024</v>
      </c>
      <c r="M91" s="1">
        <f t="shared" ca="1" si="20"/>
        <v>11.998451003288892</v>
      </c>
    </row>
    <row r="92" spans="1:13" x14ac:dyDescent="0.4">
      <c r="A92" s="1">
        <f t="shared" ca="1" si="12"/>
        <v>5.9992206443762024</v>
      </c>
      <c r="B92" s="30">
        <f t="shared" ca="1" si="21"/>
        <v>11.998451003288892</v>
      </c>
      <c r="C92" s="30">
        <f t="shared" ca="1" si="14"/>
        <v>0.54451095682144346</v>
      </c>
      <c r="D92" s="30">
        <f t="shared" ca="1" si="13"/>
        <v>6.5437316011976456</v>
      </c>
      <c r="E92" s="30">
        <f t="shared" ca="1" si="22"/>
        <v>19.191181594941099</v>
      </c>
      <c r="F92" s="30">
        <f t="shared" ca="1" si="23"/>
        <v>0.21399185012276345</v>
      </c>
      <c r="G92" s="30">
        <v>90</v>
      </c>
      <c r="H92" s="30">
        <f t="shared" si="15"/>
        <v>0.4047319726783235</v>
      </c>
      <c r="I92" s="30">
        <f t="shared" ca="1" si="16"/>
        <v>7.1927305916522073</v>
      </c>
      <c r="J92" s="30">
        <f t="shared" ca="1" si="17"/>
        <v>17.77158978583812</v>
      </c>
      <c r="K92" s="30">
        <f t="shared" ca="1" si="18"/>
        <v>1.9138003133871096E-8</v>
      </c>
      <c r="L92" s="30">
        <f t="shared" ca="1" si="19"/>
        <v>5.9992206443762024</v>
      </c>
      <c r="M92" s="1">
        <f t="shared" ca="1" si="20"/>
        <v>11.998451003288892</v>
      </c>
    </row>
    <row r="93" spans="1:13" x14ac:dyDescent="0.4">
      <c r="A93" s="1">
        <f t="shared" ca="1" si="12"/>
        <v>5.9992206443762024</v>
      </c>
      <c r="B93" s="30">
        <f t="shared" ca="1" si="21"/>
        <v>11.998451003288892</v>
      </c>
      <c r="C93" s="30">
        <f t="shared" ca="1" si="14"/>
        <v>0.13785000752584575</v>
      </c>
      <c r="D93" s="30">
        <f t="shared" ca="1" si="13"/>
        <v>6.1370706519020484</v>
      </c>
      <c r="E93" s="30">
        <f t="shared" ca="1" si="22"/>
        <v>12.595710790205658</v>
      </c>
      <c r="F93" s="30">
        <f t="shared" ca="1" si="23"/>
        <v>0.66924958345651397</v>
      </c>
      <c r="G93" s="30">
        <v>91</v>
      </c>
      <c r="H93" s="30">
        <f t="shared" si="15"/>
        <v>0.40068465295154027</v>
      </c>
      <c r="I93" s="30">
        <f t="shared" ca="1" si="16"/>
        <v>0.59725978691676573</v>
      </c>
      <c r="J93" s="30">
        <f t="shared" ca="1" si="17"/>
        <v>1.4905981113007583</v>
      </c>
      <c r="K93" s="30">
        <f t="shared" ca="1" si="18"/>
        <v>0.22523789791132612</v>
      </c>
      <c r="L93" s="30">
        <f t="shared" ca="1" si="19"/>
        <v>5.9992206443762024</v>
      </c>
      <c r="M93" s="1">
        <f t="shared" ca="1" si="20"/>
        <v>11.998451003288892</v>
      </c>
    </row>
    <row r="94" spans="1:13" x14ac:dyDescent="0.4">
      <c r="A94" s="1">
        <f t="shared" ca="1" si="12"/>
        <v>5.9992206443762024</v>
      </c>
      <c r="B94" s="30">
        <f t="shared" ca="1" si="21"/>
        <v>11.998451003288892</v>
      </c>
      <c r="C94" s="30">
        <f t="shared" ca="1" si="14"/>
        <v>0.11164253441558314</v>
      </c>
      <c r="D94" s="30">
        <f t="shared" ca="1" si="13"/>
        <v>6.1108631787917851</v>
      </c>
      <c r="E94" s="30">
        <f t="shared" ca="1" si="22"/>
        <v>12.429428367384162</v>
      </c>
      <c r="F94" s="30">
        <f t="shared" ca="1" si="23"/>
        <v>0.64034162943406181</v>
      </c>
      <c r="G94" s="30">
        <v>92</v>
      </c>
      <c r="H94" s="30">
        <f t="shared" si="15"/>
        <v>0.39667780642202483</v>
      </c>
      <c r="I94" s="30">
        <f t="shared" ca="1" si="16"/>
        <v>0.43097736409526988</v>
      </c>
      <c r="J94" s="30">
        <f t="shared" ca="1" si="17"/>
        <v>1.0864670448357623</v>
      </c>
      <c r="K94" s="30">
        <f t="shared" ca="1" si="18"/>
        <v>0.33740643226655487</v>
      </c>
      <c r="L94" s="30">
        <f t="shared" ca="1" si="19"/>
        <v>5.9992206443762024</v>
      </c>
      <c r="M94" s="1">
        <f t="shared" ca="1" si="20"/>
        <v>11.998451003288892</v>
      </c>
    </row>
    <row r="95" spans="1:13" x14ac:dyDescent="0.4">
      <c r="A95" s="1">
        <f t="shared" ca="1" si="12"/>
        <v>5.9992206443762024</v>
      </c>
      <c r="B95" s="30">
        <f t="shared" ca="1" si="21"/>
        <v>11.998451003288892</v>
      </c>
      <c r="C95" s="30">
        <f t="shared" ca="1" si="14"/>
        <v>0.59334766631097313</v>
      </c>
      <c r="D95" s="30">
        <f t="shared" ca="1" si="13"/>
        <v>6.5925683106871755</v>
      </c>
      <c r="E95" s="30">
        <f t="shared" ca="1" si="22"/>
        <v>20.591211434682236</v>
      </c>
      <c r="F95" s="30">
        <f t="shared" ca="1" si="23"/>
        <v>0.62188023384656232</v>
      </c>
      <c r="G95" s="30">
        <v>93</v>
      </c>
      <c r="H95" s="30">
        <f t="shared" si="15"/>
        <v>0.39271102835780453</v>
      </c>
      <c r="I95" s="30">
        <f t="shared" ca="1" si="16"/>
        <v>8.5927604313933443</v>
      </c>
      <c r="J95" s="30">
        <f t="shared" ca="1" si="17"/>
        <v>21.880619108980966</v>
      </c>
      <c r="K95" s="30">
        <f t="shared" ca="1" si="18"/>
        <v>3.1431699250550819E-10</v>
      </c>
      <c r="L95" s="30">
        <f t="shared" ca="1" si="19"/>
        <v>5.9992206443762024</v>
      </c>
      <c r="M95" s="1">
        <f t="shared" ca="1" si="20"/>
        <v>11.998451003288892</v>
      </c>
    </row>
    <row r="96" spans="1:13" x14ac:dyDescent="0.4">
      <c r="A96" s="1">
        <f t="shared" ca="1" si="12"/>
        <v>5.9992206443762024</v>
      </c>
      <c r="B96" s="30">
        <f t="shared" ca="1" si="21"/>
        <v>11.998451003288892</v>
      </c>
      <c r="C96" s="30">
        <f t="shared" ca="1" si="14"/>
        <v>-0.26377529460004068</v>
      </c>
      <c r="D96" s="30">
        <f t="shared" ca="1" si="13"/>
        <v>5.7354453497761622</v>
      </c>
      <c r="E96" s="30">
        <f t="shared" ca="1" si="22"/>
        <v>12.447488121564675</v>
      </c>
      <c r="F96" s="30">
        <f t="shared" ca="1" si="23"/>
        <v>0.72315224605406481</v>
      </c>
      <c r="G96" s="30">
        <v>94</v>
      </c>
      <c r="H96" s="30">
        <f t="shared" si="15"/>
        <v>0.38878391807422652</v>
      </c>
      <c r="I96" s="30">
        <f t="shared" ca="1" si="16"/>
        <v>0.44903711827578263</v>
      </c>
      <c r="J96" s="30">
        <f t="shared" ca="1" si="17"/>
        <v>1.1549786331183909</v>
      </c>
      <c r="K96" s="30">
        <f t="shared" ca="1" si="18"/>
        <v>0.31506426877242366</v>
      </c>
      <c r="L96" s="30">
        <f t="shared" ca="1" si="19"/>
        <v>5.9992206443762024</v>
      </c>
      <c r="M96" s="1">
        <f t="shared" ca="1" si="20"/>
        <v>11.998451003288892</v>
      </c>
    </row>
    <row r="97" spans="1:13" x14ac:dyDescent="0.4">
      <c r="A97" s="1">
        <f t="shared" ca="1" si="12"/>
        <v>5.9992206443762024</v>
      </c>
      <c r="B97" s="30">
        <f t="shared" ca="1" si="21"/>
        <v>11.998451003288892</v>
      </c>
      <c r="C97" s="30">
        <f t="shared" ca="1" si="14"/>
        <v>-0.42109987762559431</v>
      </c>
      <c r="D97" s="30">
        <f t="shared" ca="1" si="13"/>
        <v>5.5781207667506081</v>
      </c>
      <c r="E97" s="30">
        <f t="shared" ca="1" si="22"/>
        <v>13.434936983431953</v>
      </c>
      <c r="F97" s="30">
        <f t="shared" ca="1" si="23"/>
        <v>0.51743138567401903</v>
      </c>
      <c r="G97" s="30">
        <v>95</v>
      </c>
      <c r="H97" s="30">
        <f t="shared" si="15"/>
        <v>0.38489607889348426</v>
      </c>
      <c r="I97" s="30">
        <f t="shared" ca="1" si="16"/>
        <v>1.4364859801430612</v>
      </c>
      <c r="J97" s="30">
        <f t="shared" ca="1" si="17"/>
        <v>3.7321398136160093</v>
      </c>
      <c r="K97" s="30">
        <f t="shared" ca="1" si="18"/>
        <v>2.3941550529966715E-2</v>
      </c>
      <c r="L97" s="30">
        <f t="shared" ca="1" si="19"/>
        <v>5.9992206443762024</v>
      </c>
      <c r="M97" s="1">
        <f t="shared" ca="1" si="20"/>
        <v>11.998451003288892</v>
      </c>
    </row>
    <row r="98" spans="1:13" x14ac:dyDescent="0.4">
      <c r="A98" s="1">
        <f t="shared" ca="1" si="12"/>
        <v>5.9992206443762024</v>
      </c>
      <c r="B98" s="30">
        <f t="shared" ca="1" si="21"/>
        <v>11.998451003288892</v>
      </c>
      <c r="C98" s="30">
        <f t="shared" ca="1" si="14"/>
        <v>-0.62431376064861244</v>
      </c>
      <c r="D98" s="30">
        <f t="shared" ca="1" si="13"/>
        <v>5.37490688372759</v>
      </c>
      <c r="E98" s="30">
        <f t="shared" ca="1" si="22"/>
        <v>15.200356981322784</v>
      </c>
      <c r="F98" s="30">
        <f t="shared" ca="1" si="23"/>
        <v>0.51420213389630332</v>
      </c>
      <c r="G98" s="30">
        <v>96</v>
      </c>
      <c r="H98" s="30">
        <f t="shared" si="15"/>
        <v>0.38104711810454939</v>
      </c>
      <c r="I98" s="30">
        <f t="shared" ca="1" si="16"/>
        <v>3.2019059780338921</v>
      </c>
      <c r="J98" s="30">
        <f t="shared" ca="1" si="17"/>
        <v>8.402913513586455</v>
      </c>
      <c r="K98" s="30">
        <f t="shared" ca="1" si="18"/>
        <v>2.2421312364853847E-4</v>
      </c>
      <c r="L98" s="30">
        <f t="shared" ca="1" si="19"/>
        <v>5.9992206443762024</v>
      </c>
      <c r="M98" s="1">
        <f t="shared" ca="1" si="20"/>
        <v>11.998451003288892</v>
      </c>
    </row>
    <row r="99" spans="1:13" x14ac:dyDescent="0.4">
      <c r="A99" s="1">
        <f t="shared" ca="1" si="12"/>
        <v>5.9992206443762024</v>
      </c>
      <c r="B99" s="30">
        <f t="shared" ca="1" si="21"/>
        <v>11.998451003288892</v>
      </c>
      <c r="C99" s="30">
        <f t="shared" ca="1" si="14"/>
        <v>-9.9130366341843468E-2</v>
      </c>
      <c r="D99" s="30">
        <f t="shared" ca="1" si="13"/>
        <v>5.9000902780343587</v>
      </c>
      <c r="E99" s="30">
        <f t="shared" ca="1" si="22"/>
        <v>11.952013083310248</v>
      </c>
      <c r="F99" s="30">
        <f t="shared" ca="1" si="23"/>
        <v>0.99246199034978011</v>
      </c>
      <c r="G99" s="30">
        <v>97</v>
      </c>
      <c r="H99" s="30">
        <f t="shared" si="15"/>
        <v>0.37723664692350389</v>
      </c>
      <c r="I99" s="30">
        <f t="shared" ca="1" si="16"/>
        <v>-4.6437919978643549E-2</v>
      </c>
      <c r="J99" s="30">
        <f t="shared" ca="1" si="17"/>
        <v>-0.12310023524321125</v>
      </c>
      <c r="K99" s="30">
        <f t="shared" ca="1" si="18"/>
        <v>0</v>
      </c>
      <c r="L99" s="30">
        <f t="shared" ca="1" si="19"/>
        <v>5.9000902780343587</v>
      </c>
      <c r="M99" s="1">
        <f t="shared" ca="1" si="20"/>
        <v>11.952013083310248</v>
      </c>
    </row>
    <row r="100" spans="1:13" x14ac:dyDescent="0.4">
      <c r="A100" s="1">
        <f t="shared" ca="1" si="12"/>
        <v>5.9000902780343587</v>
      </c>
      <c r="B100" s="30">
        <f t="shared" ca="1" si="21"/>
        <v>11.952013083310248</v>
      </c>
      <c r="C100" s="30">
        <f t="shared" ca="1" si="14"/>
        <v>0.86420697904691135</v>
      </c>
      <c r="D100" s="30">
        <f t="shared" ca="1" si="13"/>
        <v>6.7642972570812701</v>
      </c>
      <c r="E100" s="30">
        <f t="shared" ca="1" si="22"/>
        <v>26.787946597646851</v>
      </c>
      <c r="F100" s="30">
        <f t="shared" ca="1" si="23"/>
        <v>0.86421002948728343</v>
      </c>
      <c r="G100" s="30">
        <v>98</v>
      </c>
      <c r="H100" s="30">
        <f t="shared" si="15"/>
        <v>0.37346428045426888</v>
      </c>
      <c r="I100" s="30">
        <f t="shared" ca="1" si="16"/>
        <v>14.835933514336602</v>
      </c>
      <c r="J100" s="30">
        <f t="shared" ca="1" si="17"/>
        <v>39.725173974578482</v>
      </c>
      <c r="K100" s="30">
        <f t="shared" ca="1" si="18"/>
        <v>5.5921157241862095E-18</v>
      </c>
      <c r="L100" s="30">
        <f t="shared" ca="1" si="19"/>
        <v>5.9000902780343587</v>
      </c>
      <c r="M100" s="1">
        <f t="shared" ca="1" si="20"/>
        <v>11.952013083310248</v>
      </c>
    </row>
    <row r="101" spans="1:13" x14ac:dyDescent="0.4">
      <c r="A101" s="1">
        <f t="shared" ca="1" si="12"/>
        <v>5.9000902780343587</v>
      </c>
      <c r="B101" s="30">
        <f t="shared" ca="1" si="21"/>
        <v>11.952013083310248</v>
      </c>
      <c r="C101" s="30">
        <f t="shared" ca="1" si="14"/>
        <v>0.72729495019321977</v>
      </c>
      <c r="D101" s="30">
        <f t="shared" ca="1" si="13"/>
        <v>6.6273852282275785</v>
      </c>
      <c r="E101" s="30">
        <f t="shared" ca="1" si="22"/>
        <v>21.683068596280691</v>
      </c>
      <c r="F101" s="30">
        <f t="shared" ca="1" si="23"/>
        <v>0.44290579280502029</v>
      </c>
      <c r="G101" s="30">
        <v>99</v>
      </c>
      <c r="H101" s="30">
        <f t="shared" si="15"/>
        <v>0.36972963764972616</v>
      </c>
      <c r="I101" s="30">
        <f t="shared" ca="1" si="16"/>
        <v>9.7310555129704426</v>
      </c>
      <c r="J101" s="30">
        <f t="shared" ca="1" si="17"/>
        <v>26.319381845686479</v>
      </c>
      <c r="K101" s="30">
        <f t="shared" ca="1" si="18"/>
        <v>3.7122541148384998E-12</v>
      </c>
      <c r="L101" s="30">
        <f t="shared" ca="1" si="19"/>
        <v>5.9000902780343587</v>
      </c>
      <c r="M101" s="1">
        <f t="shared" ca="1" si="20"/>
        <v>11.952013083310248</v>
      </c>
    </row>
    <row r="102" spans="1:13" x14ac:dyDescent="0.4">
      <c r="A102" s="1">
        <f t="shared" ca="1" si="12"/>
        <v>5.9000902780343587</v>
      </c>
      <c r="B102" s="30">
        <f t="shared" ca="1" si="21"/>
        <v>11.952013083310248</v>
      </c>
      <c r="C102" s="30">
        <f t="shared" ca="1" si="14"/>
        <v>-9.9284763765378425E-2</v>
      </c>
      <c r="D102" s="30">
        <f t="shared" ca="1" si="13"/>
        <v>5.8008055142689798</v>
      </c>
      <c r="E102" s="30">
        <f t="shared" ca="1" si="22"/>
        <v>12.174810681102826</v>
      </c>
      <c r="F102" s="30">
        <f t="shared" ca="1" si="23"/>
        <v>0.9061440938705515</v>
      </c>
      <c r="G102" s="30">
        <v>100</v>
      </c>
      <c r="H102" s="30">
        <f t="shared" si="15"/>
        <v>0.36603234127322892</v>
      </c>
      <c r="I102" s="30">
        <f t="shared" ca="1" si="16"/>
        <v>0.22279759779257802</v>
      </c>
      <c r="J102" s="30">
        <f t="shared" ca="1" si="17"/>
        <v>0.60868282026004983</v>
      </c>
      <c r="K102" s="30">
        <f t="shared" ca="1" si="18"/>
        <v>0.54406703138462886</v>
      </c>
      <c r="L102" s="30">
        <f t="shared" ca="1" si="19"/>
        <v>5.9000902780343587</v>
      </c>
      <c r="M102" s="1">
        <f t="shared" ca="1" si="20"/>
        <v>11.952013083310248</v>
      </c>
    </row>
    <row r="103" spans="1:13" x14ac:dyDescent="0.4">
      <c r="A103" s="1">
        <f t="shared" ca="1" si="12"/>
        <v>5.9000902780343587</v>
      </c>
      <c r="B103" s="30">
        <f t="shared" ca="1" si="21"/>
        <v>11.952013083310248</v>
      </c>
      <c r="C103" s="30">
        <f t="shared" ca="1" si="14"/>
        <v>-0.78137448623563133</v>
      </c>
      <c r="D103" s="30">
        <f t="shared" ca="1" si="13"/>
        <v>5.1187157917987278</v>
      </c>
      <c r="E103" s="30">
        <f t="shared" ca="1" si="22"/>
        <v>17.791546283783077</v>
      </c>
      <c r="F103" s="30">
        <f t="shared" ca="1" si="23"/>
        <v>0.96787536228186433</v>
      </c>
      <c r="G103" s="30">
        <v>101</v>
      </c>
      <c r="H103" s="30">
        <f t="shared" si="15"/>
        <v>0.36237201786049661</v>
      </c>
      <c r="I103" s="30">
        <f t="shared" ca="1" si="16"/>
        <v>5.8395332004728289</v>
      </c>
      <c r="J103" s="30">
        <f t="shared" ca="1" si="17"/>
        <v>16.114746483325021</v>
      </c>
      <c r="K103" s="30">
        <f t="shared" ca="1" si="18"/>
        <v>1.003354782361689E-7</v>
      </c>
      <c r="L103" s="30">
        <f t="shared" ca="1" si="19"/>
        <v>5.9000902780343587</v>
      </c>
      <c r="M103" s="1">
        <f t="shared" ca="1" si="20"/>
        <v>11.952013083310248</v>
      </c>
    </row>
    <row r="104" spans="1:13" x14ac:dyDescent="0.4">
      <c r="A104" s="1">
        <f t="shared" ca="1" si="12"/>
        <v>5.9000902780343587</v>
      </c>
      <c r="B104" s="30">
        <f t="shared" ca="1" si="21"/>
        <v>11.952013083310248</v>
      </c>
      <c r="C104" s="30">
        <f t="shared" ca="1" si="14"/>
        <v>0.10199089690794305</v>
      </c>
      <c r="D104" s="30">
        <f t="shared" ca="1" si="13"/>
        <v>6.002081174942302</v>
      </c>
      <c r="E104" s="30">
        <f t="shared" ca="1" si="22"/>
        <v>12.004231722642544</v>
      </c>
      <c r="F104" s="30">
        <f t="shared" ca="1" si="23"/>
        <v>0.86200385520837663</v>
      </c>
      <c r="G104" s="30">
        <v>102</v>
      </c>
      <c r="H104" s="30">
        <f t="shared" si="15"/>
        <v>0.35874829768189165</v>
      </c>
      <c r="I104" s="30">
        <f t="shared" ca="1" si="16"/>
        <v>5.2218639332295425E-2</v>
      </c>
      <c r="J104" s="30">
        <f t="shared" ca="1" si="17"/>
        <v>0.14555787349992835</v>
      </c>
      <c r="K104" s="30">
        <f t="shared" ca="1" si="18"/>
        <v>0.86453985467888794</v>
      </c>
      <c r="L104" s="30">
        <f t="shared" ca="1" si="19"/>
        <v>6.002081174942302</v>
      </c>
      <c r="M104" s="1">
        <f t="shared" ca="1" si="20"/>
        <v>12.004231722642544</v>
      </c>
    </row>
    <row r="105" spans="1:13" x14ac:dyDescent="0.4">
      <c r="A105" s="1">
        <f t="shared" ca="1" si="12"/>
        <v>6.002081174942302</v>
      </c>
      <c r="B105" s="30">
        <f t="shared" ca="1" si="21"/>
        <v>12.004231722642544</v>
      </c>
      <c r="C105" s="30">
        <f t="shared" ca="1" si="14"/>
        <v>-0.8878315989619725</v>
      </c>
      <c r="D105" s="30">
        <f t="shared" ca="1" si="13"/>
        <v>5.1142495759803293</v>
      </c>
      <c r="E105" s="30">
        <f t="shared" ca="1" si="22"/>
        <v>17.837533872030349</v>
      </c>
      <c r="F105" s="30">
        <f t="shared" ca="1" si="23"/>
        <v>0.53651019461826199</v>
      </c>
      <c r="G105" s="30">
        <v>103</v>
      </c>
      <c r="H105" s="30">
        <f t="shared" si="15"/>
        <v>0.35516081470507271</v>
      </c>
      <c r="I105" s="30">
        <f t="shared" ca="1" si="16"/>
        <v>5.833302149387805</v>
      </c>
      <c r="J105" s="30">
        <f t="shared" ca="1" si="17"/>
        <v>16.42439680242261</v>
      </c>
      <c r="K105" s="30">
        <f t="shared" ca="1" si="18"/>
        <v>7.3616488893627845E-8</v>
      </c>
      <c r="L105" s="30">
        <f t="shared" ca="1" si="19"/>
        <v>6.002081174942302</v>
      </c>
      <c r="M105" s="1">
        <f t="shared" ca="1" si="20"/>
        <v>12.004231722642544</v>
      </c>
    </row>
    <row r="106" spans="1:13" x14ac:dyDescent="0.4">
      <c r="A106" s="1">
        <f t="shared" ca="1" si="12"/>
        <v>6.002081174942302</v>
      </c>
      <c r="B106" s="30">
        <f t="shared" ca="1" si="21"/>
        <v>12.004231722642544</v>
      </c>
      <c r="C106" s="30">
        <f t="shared" ca="1" si="14"/>
        <v>0.73660043145439946</v>
      </c>
      <c r="D106" s="30">
        <f t="shared" ca="1" si="13"/>
        <v>6.7386816063967014</v>
      </c>
      <c r="E106" s="30">
        <f t="shared" ca="1" si="22"/>
        <v>25.730001943387606</v>
      </c>
      <c r="F106" s="30">
        <f t="shared" ca="1" si="23"/>
        <v>0.53356551213067682</v>
      </c>
      <c r="G106" s="30">
        <v>104</v>
      </c>
      <c r="H106" s="30">
        <f t="shared" si="15"/>
        <v>0.35160920655802197</v>
      </c>
      <c r="I106" s="30">
        <f t="shared" ca="1" si="16"/>
        <v>13.725770220745062</v>
      </c>
      <c r="J106" s="30">
        <f t="shared" ca="1" si="17"/>
        <v>39.037004619729885</v>
      </c>
      <c r="K106" s="30">
        <f t="shared" ca="1" si="18"/>
        <v>1.1128696629505219E-17</v>
      </c>
      <c r="L106" s="30">
        <f t="shared" ca="1" si="19"/>
        <v>6.002081174942302</v>
      </c>
      <c r="M106" s="1">
        <f t="shared" ca="1" si="20"/>
        <v>12.004231722642544</v>
      </c>
    </row>
    <row r="107" spans="1:13" x14ac:dyDescent="0.4">
      <c r="A107" s="1">
        <f t="shared" ca="1" si="12"/>
        <v>6.002081174942302</v>
      </c>
      <c r="B107" s="30">
        <f t="shared" ca="1" si="21"/>
        <v>12.004231722642544</v>
      </c>
      <c r="C107" s="30">
        <f t="shared" ca="1" si="14"/>
        <v>0.98581888134740625</v>
      </c>
      <c r="D107" s="30">
        <f t="shared" ca="1" si="13"/>
        <v>6.9879000562897087</v>
      </c>
      <c r="E107" s="30">
        <f t="shared" ca="1" si="22"/>
        <v>38.256517050300772</v>
      </c>
      <c r="F107" s="30">
        <f t="shared" ca="1" si="23"/>
        <v>0.30665889425772164</v>
      </c>
      <c r="G107" s="30">
        <v>105</v>
      </c>
      <c r="H107" s="30">
        <f t="shared" si="15"/>
        <v>0.34809311449244174</v>
      </c>
      <c r="I107" s="30">
        <f t="shared" ca="1" si="16"/>
        <v>26.252285327658228</v>
      </c>
      <c r="J107" s="30">
        <f t="shared" ca="1" si="17"/>
        <v>75.417422047939567</v>
      </c>
      <c r="K107" s="30">
        <f t="shared" ca="1" si="18"/>
        <v>1.764532920108503E-33</v>
      </c>
      <c r="L107" s="30">
        <f t="shared" ca="1" si="19"/>
        <v>6.002081174942302</v>
      </c>
      <c r="M107" s="1">
        <f t="shared" ca="1" si="20"/>
        <v>12.004231722642544</v>
      </c>
    </row>
    <row r="108" spans="1:13" x14ac:dyDescent="0.4">
      <c r="A108" s="1">
        <f t="shared" ca="1" si="12"/>
        <v>6.002081174942302</v>
      </c>
      <c r="B108" s="30">
        <f t="shared" ca="1" si="21"/>
        <v>12.004231722642544</v>
      </c>
      <c r="C108" s="30">
        <f t="shared" ca="1" si="14"/>
        <v>-0.42155582867987085</v>
      </c>
      <c r="D108" s="30">
        <f t="shared" ca="1" si="13"/>
        <v>5.5805253462624309</v>
      </c>
      <c r="E108" s="30">
        <f t="shared" ca="1" si="22"/>
        <v>13.41687334415451</v>
      </c>
      <c r="F108" s="30">
        <f t="shared" ca="1" si="23"/>
        <v>0.32783766886884047</v>
      </c>
      <c r="G108" s="30">
        <v>106</v>
      </c>
      <c r="H108" s="30">
        <f t="shared" si="15"/>
        <v>0.34461218334751731</v>
      </c>
      <c r="I108" s="30">
        <f t="shared" ca="1" si="16"/>
        <v>1.4126416215119662</v>
      </c>
      <c r="J108" s="30">
        <f t="shared" ca="1" si="17"/>
        <v>4.0992213559884965</v>
      </c>
      <c r="K108" s="30">
        <f t="shared" ca="1" si="18"/>
        <v>1.6585584641416271E-2</v>
      </c>
      <c r="L108" s="30">
        <f t="shared" ca="1" si="19"/>
        <v>6.002081174942302</v>
      </c>
      <c r="M108" s="1">
        <f t="shared" ca="1" si="20"/>
        <v>12.004231722642544</v>
      </c>
    </row>
    <row r="109" spans="1:13" x14ac:dyDescent="0.4">
      <c r="A109" s="1">
        <f t="shared" ca="1" si="12"/>
        <v>6.002081174942302</v>
      </c>
      <c r="B109" s="30">
        <f t="shared" ca="1" si="21"/>
        <v>12.004231722642544</v>
      </c>
      <c r="C109" s="30">
        <f t="shared" ca="1" si="14"/>
        <v>3.914954970698048E-2</v>
      </c>
      <c r="D109" s="30">
        <f t="shared" ca="1" si="13"/>
        <v>6.0412307246492825</v>
      </c>
      <c r="E109" s="30">
        <f t="shared" ca="1" si="22"/>
        <v>12.110224630522907</v>
      </c>
      <c r="F109" s="30">
        <f t="shared" ca="1" si="23"/>
        <v>0.71160520882810774</v>
      </c>
      <c r="G109" s="30">
        <v>107</v>
      </c>
      <c r="H109" s="30">
        <f t="shared" si="15"/>
        <v>0.34116606151404211</v>
      </c>
      <c r="I109" s="30">
        <f t="shared" ca="1" si="16"/>
        <v>0.10599290788036342</v>
      </c>
      <c r="J109" s="30">
        <f t="shared" ca="1" si="17"/>
        <v>0.31067834652129028</v>
      </c>
      <c r="K109" s="30">
        <f t="shared" ca="1" si="18"/>
        <v>0.73294959374410962</v>
      </c>
      <c r="L109" s="30">
        <f t="shared" ca="1" si="19"/>
        <v>6.0412307246492825</v>
      </c>
      <c r="M109" s="1">
        <f t="shared" ca="1" si="20"/>
        <v>12.110224630522907</v>
      </c>
    </row>
    <row r="110" spans="1:13" x14ac:dyDescent="0.4">
      <c r="A110" s="1">
        <f t="shared" ca="1" si="12"/>
        <v>6.0412307246492825</v>
      </c>
      <c r="B110" s="30">
        <f t="shared" ca="1" si="21"/>
        <v>12.110224630522907</v>
      </c>
      <c r="C110" s="30">
        <f t="shared" ca="1" si="14"/>
        <v>-0.66924354899657756</v>
      </c>
      <c r="D110" s="30">
        <f t="shared" ca="1" si="13"/>
        <v>5.3719871756527047</v>
      </c>
      <c r="E110" s="30">
        <f t="shared" ca="1" si="22"/>
        <v>15.228420913155446</v>
      </c>
      <c r="F110" s="30">
        <f t="shared" ca="1" si="23"/>
        <v>8.8153779612376804E-2</v>
      </c>
      <c r="G110" s="30">
        <v>108</v>
      </c>
      <c r="H110" s="30">
        <f t="shared" si="15"/>
        <v>0.33775440089890174</v>
      </c>
      <c r="I110" s="30">
        <f t="shared" ca="1" si="16"/>
        <v>3.1181962826325389</v>
      </c>
      <c r="J110" s="30">
        <f t="shared" ca="1" si="17"/>
        <v>9.2321410893055766</v>
      </c>
      <c r="K110" s="30">
        <f t="shared" ca="1" si="18"/>
        <v>9.7843520080374808E-5</v>
      </c>
      <c r="L110" s="30">
        <f t="shared" ca="1" si="19"/>
        <v>6.0412307246492825</v>
      </c>
      <c r="M110" s="1">
        <f t="shared" ca="1" si="20"/>
        <v>12.110224630522907</v>
      </c>
    </row>
    <row r="111" spans="1:13" x14ac:dyDescent="0.4">
      <c r="A111" s="1">
        <f t="shared" ca="1" si="12"/>
        <v>6.0412307246492825</v>
      </c>
      <c r="B111" s="30">
        <f t="shared" ca="1" si="21"/>
        <v>12.110224630522907</v>
      </c>
      <c r="C111" s="30">
        <f t="shared" ca="1" si="14"/>
        <v>0.32485988900281315</v>
      </c>
      <c r="D111" s="30">
        <f t="shared" ca="1" si="13"/>
        <v>6.3660906136520961</v>
      </c>
      <c r="E111" s="30">
        <f t="shared" ca="1" si="22"/>
        <v>15.287015170640871</v>
      </c>
      <c r="F111" s="30">
        <f t="shared" ca="1" si="23"/>
        <v>0.68338328562961936</v>
      </c>
      <c r="G111" s="30">
        <v>109</v>
      </c>
      <c r="H111" s="30">
        <f t="shared" si="15"/>
        <v>0.33437685688991264</v>
      </c>
      <c r="I111" s="30">
        <f t="shared" ca="1" si="16"/>
        <v>3.1767905401179632</v>
      </c>
      <c r="J111" s="30">
        <f t="shared" ca="1" si="17"/>
        <v>9.5006292291450727</v>
      </c>
      <c r="K111" s="30">
        <f t="shared" ca="1" si="18"/>
        <v>7.480474574968268E-5</v>
      </c>
      <c r="L111" s="30">
        <f t="shared" ca="1" si="19"/>
        <v>6.0412307246492825</v>
      </c>
      <c r="M111" s="1">
        <f t="shared" ca="1" si="20"/>
        <v>12.110224630522907</v>
      </c>
    </row>
    <row r="112" spans="1:13" x14ac:dyDescent="0.4">
      <c r="A112" s="1">
        <f t="shared" ca="1" si="12"/>
        <v>6.0412307246492825</v>
      </c>
      <c r="B112" s="30">
        <f t="shared" ca="1" si="21"/>
        <v>12.110224630522907</v>
      </c>
      <c r="C112" s="30">
        <f t="shared" ca="1" si="14"/>
        <v>-0.69379628673257887</v>
      </c>
      <c r="D112" s="30">
        <f t="shared" ca="1" si="13"/>
        <v>5.3474344379167036</v>
      </c>
      <c r="E112" s="30">
        <f t="shared" ca="1" si="22"/>
        <v>15.466561514933801</v>
      </c>
      <c r="F112" s="30">
        <f t="shared" ca="1" si="23"/>
        <v>0.96485487679629411</v>
      </c>
      <c r="G112" s="30">
        <v>110</v>
      </c>
      <c r="H112" s="30">
        <f t="shared" si="15"/>
        <v>0.33103308832101358</v>
      </c>
      <c r="I112" s="30">
        <f t="shared" ca="1" si="16"/>
        <v>3.3563368844108936</v>
      </c>
      <c r="J112" s="30">
        <f t="shared" ca="1" si="17"/>
        <v>10.138977047382479</v>
      </c>
      <c r="K112" s="30">
        <f t="shared" ca="1" si="18"/>
        <v>3.9509198198458009E-5</v>
      </c>
      <c r="L112" s="30">
        <f t="shared" ca="1" si="19"/>
        <v>6.0412307246492825</v>
      </c>
      <c r="M112" s="1">
        <f t="shared" ca="1" si="20"/>
        <v>12.110224630522907</v>
      </c>
    </row>
    <row r="113" spans="1:13" x14ac:dyDescent="0.4">
      <c r="A113" s="1">
        <f t="shared" ca="1" si="12"/>
        <v>6.0412307246492825</v>
      </c>
      <c r="B113" s="30">
        <f t="shared" ca="1" si="21"/>
        <v>12.110224630522907</v>
      </c>
      <c r="C113" s="30">
        <f t="shared" ca="1" si="14"/>
        <v>-0.31492537597110593</v>
      </c>
      <c r="D113" s="30">
        <f t="shared" ca="1" si="13"/>
        <v>5.7263053486781761</v>
      </c>
      <c r="E113" s="30">
        <f t="shared" ca="1" si="22"/>
        <v>12.492745194272175</v>
      </c>
      <c r="F113" s="30">
        <f t="shared" ca="1" si="23"/>
        <v>0.89498617317652707</v>
      </c>
      <c r="G113" s="30">
        <v>111</v>
      </c>
      <c r="H113" s="30">
        <f t="shared" si="15"/>
        <v>0.32772275743780344</v>
      </c>
      <c r="I113" s="30">
        <f t="shared" ca="1" si="16"/>
        <v>0.38252056374926724</v>
      </c>
      <c r="J113" s="30">
        <f t="shared" ca="1" si="17"/>
        <v>1.1672078153494225</v>
      </c>
      <c r="K113" s="30">
        <f t="shared" ca="1" si="18"/>
        <v>0.31123475405790213</v>
      </c>
      <c r="L113" s="30">
        <f t="shared" ca="1" si="19"/>
        <v>6.0412307246492825</v>
      </c>
      <c r="M113" s="1">
        <f t="shared" ca="1" si="20"/>
        <v>12.110224630522907</v>
      </c>
    </row>
    <row r="114" spans="1:13" x14ac:dyDescent="0.4">
      <c r="A114" s="1">
        <f t="shared" ca="1" si="12"/>
        <v>6.0412307246492825</v>
      </c>
      <c r="B114" s="30">
        <f t="shared" ca="1" si="21"/>
        <v>12.110224630522907</v>
      </c>
      <c r="C114" s="30">
        <f t="shared" ca="1" si="14"/>
        <v>5.8379555886121093E-2</v>
      </c>
      <c r="D114" s="30">
        <f t="shared" ca="1" si="13"/>
        <v>6.0996102805354031</v>
      </c>
      <c r="E114" s="30">
        <f t="shared" ca="1" si="22"/>
        <v>12.365981170465602</v>
      </c>
      <c r="F114" s="30">
        <f t="shared" ca="1" si="23"/>
        <v>4.3173783080691863E-2</v>
      </c>
      <c r="G114" s="30">
        <v>112</v>
      </c>
      <c r="H114" s="30">
        <f t="shared" si="15"/>
        <v>0.3244455298634254</v>
      </c>
      <c r="I114" s="30">
        <f t="shared" ca="1" si="16"/>
        <v>0.25575653994269487</v>
      </c>
      <c r="J114" s="30">
        <f t="shared" ca="1" si="17"/>
        <v>0.78828806810916763</v>
      </c>
      <c r="K114" s="30">
        <f t="shared" ca="1" si="18"/>
        <v>0.45462241208447501</v>
      </c>
      <c r="L114" s="30">
        <f t="shared" ca="1" si="19"/>
        <v>6.0996102805354031</v>
      </c>
      <c r="M114" s="1">
        <f t="shared" ca="1" si="20"/>
        <v>12.365981170465602</v>
      </c>
    </row>
    <row r="115" spans="1:13" x14ac:dyDescent="0.4">
      <c r="A115" s="1">
        <f t="shared" ca="1" si="12"/>
        <v>6.0996102805354031</v>
      </c>
      <c r="B115" s="30">
        <f t="shared" ca="1" si="21"/>
        <v>12.365981170465602</v>
      </c>
      <c r="C115" s="30">
        <f t="shared" ca="1" si="14"/>
        <v>-0.61531417540352651</v>
      </c>
      <c r="D115" s="30">
        <f t="shared" ca="1" si="13"/>
        <v>5.484296105131877</v>
      </c>
      <c r="E115" s="30">
        <f t="shared" ca="1" si="22"/>
        <v>14.197316298280839</v>
      </c>
      <c r="F115" s="30">
        <f t="shared" ca="1" si="23"/>
        <v>0.72481352382072983</v>
      </c>
      <c r="G115" s="30">
        <v>113</v>
      </c>
      <c r="H115" s="30">
        <f t="shared" si="15"/>
        <v>0.32120107456479113</v>
      </c>
      <c r="I115" s="30">
        <f t="shared" ca="1" si="16"/>
        <v>1.8313351278152368</v>
      </c>
      <c r="J115" s="30">
        <f t="shared" ca="1" si="17"/>
        <v>5.7015224195516465</v>
      </c>
      <c r="K115" s="30">
        <f t="shared" ca="1" si="18"/>
        <v>3.3408753698472779E-3</v>
      </c>
      <c r="L115" s="30">
        <f t="shared" ca="1" si="19"/>
        <v>6.0996102805354031</v>
      </c>
      <c r="M115" s="1">
        <f t="shared" ca="1" si="20"/>
        <v>12.365981170465602</v>
      </c>
    </row>
    <row r="116" spans="1:13" x14ac:dyDescent="0.4">
      <c r="A116" s="1">
        <f t="shared" ca="1" si="12"/>
        <v>6.0996102805354031</v>
      </c>
      <c r="B116" s="30">
        <f t="shared" ca="1" si="21"/>
        <v>12.365981170465602</v>
      </c>
      <c r="C116" s="30">
        <f t="shared" ca="1" si="14"/>
        <v>0.31231208916171527</v>
      </c>
      <c r="D116" s="30">
        <f t="shared" ca="1" si="13"/>
        <v>6.4119223696971179</v>
      </c>
      <c r="E116" s="30">
        <f t="shared" ca="1" si="22"/>
        <v>16.126676702333725</v>
      </c>
      <c r="F116" s="30">
        <f t="shared" ca="1" si="23"/>
        <v>0.70752632386508763</v>
      </c>
      <c r="G116" s="30">
        <v>114</v>
      </c>
      <c r="H116" s="30">
        <f t="shared" si="15"/>
        <v>0.31798906381914321</v>
      </c>
      <c r="I116" s="30">
        <f t="shared" ca="1" si="16"/>
        <v>3.760695531868123</v>
      </c>
      <c r="J116" s="30">
        <f t="shared" ca="1" si="17"/>
        <v>11.82649329728844</v>
      </c>
      <c r="K116" s="30">
        <f t="shared" ca="1" si="18"/>
        <v>7.3083480310327465E-6</v>
      </c>
      <c r="L116" s="30">
        <f t="shared" ca="1" si="19"/>
        <v>6.0996102805354031</v>
      </c>
      <c r="M116" s="1">
        <f t="shared" ca="1" si="20"/>
        <v>12.365981170465602</v>
      </c>
    </row>
    <row r="117" spans="1:13" x14ac:dyDescent="0.4">
      <c r="A117" s="1">
        <f t="shared" ca="1" si="12"/>
        <v>6.0996102805354031</v>
      </c>
      <c r="B117" s="30">
        <f t="shared" ca="1" si="21"/>
        <v>12.365981170465602</v>
      </c>
      <c r="C117" s="30">
        <f t="shared" ca="1" si="14"/>
        <v>-0.95291100618753677</v>
      </c>
      <c r="D117" s="30">
        <f t="shared" ca="1" si="13"/>
        <v>5.1466992743478661</v>
      </c>
      <c r="E117" s="30">
        <f t="shared" ca="1" si="22"/>
        <v>17.503057312728515</v>
      </c>
      <c r="F117" s="30">
        <f t="shared" ca="1" si="23"/>
        <v>0.76754083426435715</v>
      </c>
      <c r="G117" s="30">
        <v>115</v>
      </c>
      <c r="H117" s="30">
        <f t="shared" si="15"/>
        <v>0.31480917318095175</v>
      </c>
      <c r="I117" s="30">
        <f t="shared" ca="1" si="16"/>
        <v>5.137076142262913</v>
      </c>
      <c r="J117" s="30">
        <f t="shared" ca="1" si="17"/>
        <v>16.318063703023451</v>
      </c>
      <c r="K117" s="30">
        <f t="shared" ca="1" si="18"/>
        <v>8.187569102525875E-8</v>
      </c>
      <c r="L117" s="30">
        <f t="shared" ca="1" si="19"/>
        <v>6.0996102805354031</v>
      </c>
      <c r="M117" s="1">
        <f t="shared" ca="1" si="20"/>
        <v>12.365981170465602</v>
      </c>
    </row>
    <row r="118" spans="1:13" x14ac:dyDescent="0.4">
      <c r="A118" s="1">
        <f t="shared" ca="1" si="12"/>
        <v>6.0996102805354031</v>
      </c>
      <c r="B118" s="30">
        <f t="shared" ca="1" si="21"/>
        <v>12.365981170465602</v>
      </c>
      <c r="C118" s="30">
        <f t="shared" ca="1" si="14"/>
        <v>0.50825234541024433</v>
      </c>
      <c r="D118" s="30">
        <f t="shared" ca="1" si="13"/>
        <v>6.6078626259456472</v>
      </c>
      <c r="E118" s="30">
        <f t="shared" ca="1" si="22"/>
        <v>21.061032014104967</v>
      </c>
      <c r="F118" s="30">
        <f t="shared" ca="1" si="23"/>
        <v>0.82523696123805046</v>
      </c>
      <c r="G118" s="30">
        <v>116</v>
      </c>
      <c r="H118" s="30">
        <f t="shared" si="15"/>
        <v>0.31166108144914229</v>
      </c>
      <c r="I118" s="30">
        <f t="shared" ca="1" si="16"/>
        <v>8.6950508436393648</v>
      </c>
      <c r="J118" s="30">
        <f t="shared" ca="1" si="17"/>
        <v>27.899058821235101</v>
      </c>
      <c r="K118" s="30">
        <f t="shared" ca="1" si="18"/>
        <v>7.6487894056421673E-13</v>
      </c>
      <c r="L118" s="30">
        <f t="shared" ca="1" si="19"/>
        <v>6.0996102805354031</v>
      </c>
      <c r="M118" s="1">
        <f t="shared" ca="1" si="20"/>
        <v>12.365981170465602</v>
      </c>
    </row>
    <row r="119" spans="1:13" x14ac:dyDescent="0.4">
      <c r="A119" s="1">
        <f t="shared" ca="1" si="12"/>
        <v>6.0996102805354031</v>
      </c>
      <c r="B119" s="30">
        <f t="shared" ca="1" si="21"/>
        <v>12.365981170465602</v>
      </c>
      <c r="C119" s="30">
        <f t="shared" ca="1" si="14"/>
        <v>0.19241363252383303</v>
      </c>
      <c r="D119" s="30">
        <f t="shared" ca="1" si="13"/>
        <v>6.2920239130592357</v>
      </c>
      <c r="E119" s="30">
        <f t="shared" ca="1" si="22"/>
        <v>14.154993252505619</v>
      </c>
      <c r="F119" s="30">
        <f t="shared" ca="1" si="23"/>
        <v>0.22224571793441106</v>
      </c>
      <c r="G119" s="30">
        <v>117</v>
      </c>
      <c r="H119" s="30">
        <f t="shared" si="15"/>
        <v>0.30854447063465085</v>
      </c>
      <c r="I119" s="30">
        <f t="shared" ca="1" si="16"/>
        <v>1.789012082040017</v>
      </c>
      <c r="J119" s="30">
        <f t="shared" ca="1" si="17"/>
        <v>5.7982308947561592</v>
      </c>
      <c r="K119" s="30">
        <f t="shared" ca="1" si="18"/>
        <v>3.0329155488665006E-3</v>
      </c>
      <c r="L119" s="30">
        <f t="shared" ca="1" si="19"/>
        <v>6.0996102805354031</v>
      </c>
      <c r="M119" s="1">
        <f t="shared" ca="1" si="20"/>
        <v>12.365981170465602</v>
      </c>
    </row>
    <row r="120" spans="1:13" x14ac:dyDescent="0.4">
      <c r="A120" s="1">
        <f t="shared" ca="1" si="12"/>
        <v>6.0996102805354031</v>
      </c>
      <c r="B120" s="30">
        <f t="shared" ca="1" si="21"/>
        <v>12.365981170465602</v>
      </c>
      <c r="C120" s="30">
        <f t="shared" ca="1" si="14"/>
        <v>0.20463503145733153</v>
      </c>
      <c r="D120" s="30">
        <f t="shared" ca="1" si="13"/>
        <v>6.3042453119927346</v>
      </c>
      <c r="E120" s="30">
        <f t="shared" ca="1" si="22"/>
        <v>14.323402549228604</v>
      </c>
      <c r="F120" s="30">
        <f t="shared" ca="1" si="23"/>
        <v>4.6196001767769945E-2</v>
      </c>
      <c r="G120" s="30">
        <v>118</v>
      </c>
      <c r="H120" s="30">
        <f t="shared" si="15"/>
        <v>0.30545902592830432</v>
      </c>
      <c r="I120" s="30">
        <f t="shared" ca="1" si="16"/>
        <v>1.9574213787630015</v>
      </c>
      <c r="J120" s="30">
        <f t="shared" ca="1" si="17"/>
        <v>6.4081307560459413</v>
      </c>
      <c r="K120" s="30">
        <f t="shared" ca="1" si="18"/>
        <v>1.6481023298846858E-3</v>
      </c>
      <c r="L120" s="30">
        <f t="shared" ca="1" si="19"/>
        <v>6.0996102805354031</v>
      </c>
      <c r="M120" s="1">
        <f t="shared" ca="1" si="20"/>
        <v>12.365981170465602</v>
      </c>
    </row>
    <row r="121" spans="1:13" x14ac:dyDescent="0.4">
      <c r="A121" s="1">
        <f t="shared" ca="1" si="12"/>
        <v>6.0996102805354031</v>
      </c>
      <c r="B121" s="30">
        <f t="shared" ca="1" si="21"/>
        <v>12.365981170465602</v>
      </c>
      <c r="C121" s="30">
        <f t="shared" ca="1" si="14"/>
        <v>0.48608688192673766</v>
      </c>
      <c r="D121" s="30">
        <f t="shared" ca="1" si="13"/>
        <v>6.5856971624621412</v>
      </c>
      <c r="E121" s="30">
        <f t="shared" ca="1" si="22"/>
        <v>20.385076125249498</v>
      </c>
      <c r="F121" s="30">
        <f t="shared" ca="1" si="23"/>
        <v>0.33036324792949423</v>
      </c>
      <c r="G121" s="30">
        <v>119</v>
      </c>
      <c r="H121" s="30">
        <f t="shared" si="15"/>
        <v>0.30240443566902125</v>
      </c>
      <c r="I121" s="30">
        <f t="shared" ca="1" si="16"/>
        <v>8.0190949547838954</v>
      </c>
      <c r="J121" s="30">
        <f t="shared" ca="1" si="17"/>
        <v>26.517782178171213</v>
      </c>
      <c r="K121" s="30">
        <f t="shared" ca="1" si="18"/>
        <v>3.0442024259053937E-12</v>
      </c>
      <c r="L121" s="30">
        <f t="shared" ca="1" si="19"/>
        <v>6.0996102805354031</v>
      </c>
      <c r="M121" s="1">
        <f t="shared" ca="1" si="20"/>
        <v>12.365981170465602</v>
      </c>
    </row>
    <row r="122" spans="1:13" x14ac:dyDescent="0.4">
      <c r="A122" s="1">
        <f t="shared" ca="1" si="12"/>
        <v>6.0996102805354031</v>
      </c>
      <c r="B122" s="30">
        <f t="shared" ca="1" si="21"/>
        <v>12.365981170465602</v>
      </c>
      <c r="C122" s="30">
        <f t="shared" ca="1" si="14"/>
        <v>-0.27910005705889418</v>
      </c>
      <c r="D122" s="30">
        <f t="shared" ca="1" si="13"/>
        <v>5.8205102234765089</v>
      </c>
      <c r="E122" s="30">
        <f t="shared" ca="1" si="22"/>
        <v>12.111263259216685</v>
      </c>
      <c r="F122" s="30">
        <f t="shared" ca="1" si="23"/>
        <v>0.8995814842080323</v>
      </c>
      <c r="G122" s="30">
        <v>120</v>
      </c>
      <c r="H122" s="30">
        <f t="shared" si="15"/>
        <v>0.29938039131233107</v>
      </c>
      <c r="I122" s="30">
        <f t="shared" ca="1" si="16"/>
        <v>-0.25471791124891752</v>
      </c>
      <c r="J122" s="30">
        <f t="shared" ca="1" si="17"/>
        <v>-0.85081694940795549</v>
      </c>
      <c r="K122" s="30">
        <f t="shared" ca="1" si="18"/>
        <v>0</v>
      </c>
      <c r="L122" s="30">
        <f t="shared" ca="1" si="19"/>
        <v>5.8205102234765089</v>
      </c>
      <c r="M122" s="1">
        <f t="shared" ca="1" si="20"/>
        <v>12.111263259216685</v>
      </c>
    </row>
    <row r="123" spans="1:13" x14ac:dyDescent="0.4">
      <c r="A123" s="1">
        <f t="shared" ref="A123:A147" ca="1" si="24">L122</f>
        <v>5.8205102234765089</v>
      </c>
      <c r="B123" s="30">
        <f t="shared" ca="1" si="21"/>
        <v>12.111263259216685</v>
      </c>
      <c r="C123" s="30">
        <f t="shared" ca="1" si="14"/>
        <v>0.90715783414705919</v>
      </c>
      <c r="D123" s="30">
        <f t="shared" ref="D123:D147" ca="1" si="25">A123+C123</f>
        <v>6.7276680576235677</v>
      </c>
      <c r="E123" s="30">
        <f t="shared" ca="1" si="22"/>
        <v>25.290126609338131</v>
      </c>
      <c r="F123" s="30">
        <f t="shared" ca="1" si="23"/>
        <v>0.86574579330632917</v>
      </c>
      <c r="G123" s="30">
        <v>121</v>
      </c>
      <c r="H123" s="30">
        <f t="shared" si="15"/>
        <v>0.2963865873992077</v>
      </c>
      <c r="I123" s="30">
        <f t="shared" ca="1" si="16"/>
        <v>13.178863350121446</v>
      </c>
      <c r="J123" s="30">
        <f t="shared" ca="1" si="17"/>
        <v>44.465113842586376</v>
      </c>
      <c r="K123" s="30">
        <f t="shared" ca="1" si="18"/>
        <v>4.8870459331607238E-20</v>
      </c>
      <c r="L123" s="30">
        <f t="shared" ca="1" si="19"/>
        <v>5.8205102234765089</v>
      </c>
      <c r="M123" s="1">
        <f t="shared" ca="1" si="20"/>
        <v>12.111263259216685</v>
      </c>
    </row>
    <row r="124" spans="1:13" x14ac:dyDescent="0.4">
      <c r="A124" s="1">
        <f t="shared" ca="1" si="24"/>
        <v>5.8205102234765089</v>
      </c>
      <c r="B124" s="30">
        <f t="shared" ca="1" si="21"/>
        <v>12.111263259216685</v>
      </c>
      <c r="C124" s="30">
        <f t="shared" ca="1" si="14"/>
        <v>0.41306765459458572</v>
      </c>
      <c r="D124" s="30">
        <f t="shared" ca="1" si="25"/>
        <v>6.2335778780710944</v>
      </c>
      <c r="E124" s="30">
        <f t="shared" ca="1" si="22"/>
        <v>13.445019904800574</v>
      </c>
      <c r="F124" s="30">
        <f t="shared" ca="1" si="23"/>
        <v>5.2514329055041609E-2</v>
      </c>
      <c r="G124" s="30">
        <v>122</v>
      </c>
      <c r="H124" s="30">
        <f t="shared" si="15"/>
        <v>0.29342272152521565</v>
      </c>
      <c r="I124" s="30">
        <f t="shared" ca="1" si="16"/>
        <v>1.3337566455838896</v>
      </c>
      <c r="J124" s="30">
        <f t="shared" ca="1" si="17"/>
        <v>4.5455124901405144</v>
      </c>
      <c r="K124" s="30">
        <f t="shared" ca="1" si="18"/>
        <v>1.0614731376880114E-2</v>
      </c>
      <c r="L124" s="30">
        <f t="shared" ca="1" si="19"/>
        <v>5.8205102234765089</v>
      </c>
      <c r="M124" s="1">
        <f t="shared" ca="1" si="20"/>
        <v>12.111263259216685</v>
      </c>
    </row>
    <row r="125" spans="1:13" x14ac:dyDescent="0.4">
      <c r="A125" s="1">
        <f t="shared" ca="1" si="24"/>
        <v>5.8205102234765089</v>
      </c>
      <c r="B125" s="30">
        <f t="shared" ca="1" si="21"/>
        <v>12.111263259216685</v>
      </c>
      <c r="C125" s="30">
        <f t="shared" ca="1" si="14"/>
        <v>-0.80414445464018924</v>
      </c>
      <c r="D125" s="30">
        <f t="shared" ca="1" si="25"/>
        <v>5.0163657688363195</v>
      </c>
      <c r="E125" s="30">
        <f t="shared" ca="1" si="22"/>
        <v>18.835824240119564</v>
      </c>
      <c r="F125" s="30">
        <f t="shared" ca="1" si="23"/>
        <v>0.86739962146062999</v>
      </c>
      <c r="G125" s="30">
        <v>123</v>
      </c>
      <c r="H125" s="30">
        <f t="shared" si="15"/>
        <v>0.29048849430996354</v>
      </c>
      <c r="I125" s="30">
        <f t="shared" ca="1" si="16"/>
        <v>6.7245609809028792</v>
      </c>
      <c r="J125" s="30">
        <f t="shared" ca="1" si="17"/>
        <v>23.149147427944211</v>
      </c>
      <c r="K125" s="30">
        <f t="shared" ca="1" si="18"/>
        <v>8.8400151901451883E-11</v>
      </c>
      <c r="L125" s="30">
        <f t="shared" ca="1" si="19"/>
        <v>5.8205102234765089</v>
      </c>
      <c r="M125" s="1">
        <f t="shared" ca="1" si="20"/>
        <v>12.111263259216685</v>
      </c>
    </row>
    <row r="126" spans="1:13" x14ac:dyDescent="0.4">
      <c r="A126" s="1">
        <f t="shared" ca="1" si="24"/>
        <v>5.8205102234765089</v>
      </c>
      <c r="B126" s="30">
        <f t="shared" ca="1" si="21"/>
        <v>12.111263259216685</v>
      </c>
      <c r="C126" s="30">
        <f t="shared" ca="1" si="14"/>
        <v>0.72843400993238583</v>
      </c>
      <c r="D126" s="30">
        <f t="shared" ca="1" si="25"/>
        <v>6.5489442334088945</v>
      </c>
      <c r="E126" s="30">
        <f t="shared" ca="1" si="22"/>
        <v>19.333480305350122</v>
      </c>
      <c r="F126" s="30">
        <f t="shared" ca="1" si="23"/>
        <v>0.68331916792907932</v>
      </c>
      <c r="G126" s="30">
        <v>124</v>
      </c>
      <c r="H126" s="30">
        <f t="shared" si="15"/>
        <v>0.28758360936686383</v>
      </c>
      <c r="I126" s="30">
        <f t="shared" ca="1" si="16"/>
        <v>7.2222170461334372</v>
      </c>
      <c r="J126" s="30">
        <f t="shared" ca="1" si="17"/>
        <v>25.113451569905781</v>
      </c>
      <c r="K126" s="30">
        <f t="shared" ca="1" si="18"/>
        <v>1.2398426210186025E-11</v>
      </c>
      <c r="L126" s="30">
        <f t="shared" ca="1" si="19"/>
        <v>5.8205102234765089</v>
      </c>
      <c r="M126" s="1">
        <f t="shared" ca="1" si="20"/>
        <v>12.111263259216685</v>
      </c>
    </row>
    <row r="127" spans="1:13" x14ac:dyDescent="0.4">
      <c r="A127" s="1">
        <f t="shared" ca="1" si="24"/>
        <v>5.8205102234765089</v>
      </c>
      <c r="B127" s="30">
        <f t="shared" ca="1" si="21"/>
        <v>12.111263259216685</v>
      </c>
      <c r="C127" s="30">
        <f t="shared" ca="1" si="14"/>
        <v>0.80814641434447854</v>
      </c>
      <c r="D127" s="30">
        <f t="shared" ca="1" si="25"/>
        <v>6.6286566378209875</v>
      </c>
      <c r="E127" s="30">
        <f t="shared" ca="1" si="22"/>
        <v>21.724457190471412</v>
      </c>
      <c r="F127" s="30">
        <f t="shared" ca="1" si="23"/>
        <v>0.90588986562373919</v>
      </c>
      <c r="G127" s="30">
        <v>125</v>
      </c>
      <c r="H127" s="30">
        <f t="shared" si="15"/>
        <v>0.28470777327319513</v>
      </c>
      <c r="I127" s="30">
        <f t="shared" ca="1" si="16"/>
        <v>9.6131939312547274</v>
      </c>
      <c r="J127" s="30">
        <f t="shared" ca="1" si="17"/>
        <v>33.765126328427499</v>
      </c>
      <c r="K127" s="30">
        <f t="shared" ca="1" si="18"/>
        <v>2.1676639489872441E-15</v>
      </c>
      <c r="L127" s="30">
        <f t="shared" ca="1" si="19"/>
        <v>5.8205102234765089</v>
      </c>
      <c r="M127" s="1">
        <f t="shared" ca="1" si="20"/>
        <v>12.111263259216685</v>
      </c>
    </row>
    <row r="128" spans="1:13" x14ac:dyDescent="0.4">
      <c r="A128" s="1">
        <f t="shared" ca="1" si="24"/>
        <v>5.8205102234765089</v>
      </c>
      <c r="B128" s="30">
        <f t="shared" ca="1" si="21"/>
        <v>12.111263259216685</v>
      </c>
      <c r="C128" s="30">
        <f t="shared" ca="1" si="14"/>
        <v>-0.57430636005187652</v>
      </c>
      <c r="D128" s="30">
        <f t="shared" ca="1" si="25"/>
        <v>5.2462038634246326</v>
      </c>
      <c r="E128" s="30">
        <f t="shared" ca="1" si="22"/>
        <v>16.480098932692499</v>
      </c>
      <c r="F128" s="30">
        <f t="shared" ca="1" si="23"/>
        <v>0.56471913727798995</v>
      </c>
      <c r="G128" s="30">
        <v>126</v>
      </c>
      <c r="H128" s="30">
        <f t="shared" si="15"/>
        <v>0.28186069554046328</v>
      </c>
      <c r="I128" s="30">
        <f t="shared" ca="1" si="16"/>
        <v>4.3688356734758145</v>
      </c>
      <c r="J128" s="30">
        <f t="shared" ca="1" si="17"/>
        <v>15.499981879696435</v>
      </c>
      <c r="K128" s="30">
        <f t="shared" ca="1" si="18"/>
        <v>1.8554249831753075E-7</v>
      </c>
      <c r="L128" s="30">
        <f t="shared" ca="1" si="19"/>
        <v>5.8205102234765089</v>
      </c>
      <c r="M128" s="1">
        <f t="shared" ca="1" si="20"/>
        <v>12.111263259216685</v>
      </c>
    </row>
    <row r="129" spans="1:13" x14ac:dyDescent="0.4">
      <c r="A129" s="1">
        <f t="shared" ca="1" si="24"/>
        <v>5.8205102234765089</v>
      </c>
      <c r="B129" s="30">
        <f t="shared" ca="1" si="21"/>
        <v>12.111263259216685</v>
      </c>
      <c r="C129" s="30">
        <f t="shared" ca="1" si="14"/>
        <v>-0.96244223213036006</v>
      </c>
      <c r="D129" s="30">
        <f t="shared" ca="1" si="25"/>
        <v>4.8580679913461484</v>
      </c>
      <c r="E129" s="30">
        <f t="shared" ca="1" si="22"/>
        <v>20.367999796971276</v>
      </c>
      <c r="F129" s="30">
        <f t="shared" ca="1" si="23"/>
        <v>0.31569083293465294</v>
      </c>
      <c r="G129" s="30">
        <v>127</v>
      </c>
      <c r="H129" s="30">
        <f t="shared" si="15"/>
        <v>0.27904208858505863</v>
      </c>
      <c r="I129" s="30">
        <f t="shared" ca="1" si="16"/>
        <v>8.2567365377545912</v>
      </c>
      <c r="J129" s="30">
        <f t="shared" ca="1" si="17"/>
        <v>29.589574030290926</v>
      </c>
      <c r="K129" s="30">
        <f t="shared" ca="1" si="18"/>
        <v>1.4106240267283387E-13</v>
      </c>
      <c r="L129" s="30">
        <f t="shared" ca="1" si="19"/>
        <v>5.8205102234765089</v>
      </c>
      <c r="M129" s="1">
        <f t="shared" ca="1" si="20"/>
        <v>12.111263259216685</v>
      </c>
    </row>
    <row r="130" spans="1:13" x14ac:dyDescent="0.4">
      <c r="A130" s="1">
        <f t="shared" ca="1" si="24"/>
        <v>5.8205102234765089</v>
      </c>
      <c r="B130" s="30">
        <f t="shared" ca="1" si="21"/>
        <v>12.111263259216685</v>
      </c>
      <c r="C130" s="30">
        <f t="shared" ca="1" si="14"/>
        <v>-0.43827122223607096</v>
      </c>
      <c r="D130" s="30">
        <f t="shared" ca="1" si="25"/>
        <v>5.3822390012404382</v>
      </c>
      <c r="E130" s="30">
        <f t="shared" ca="1" si="22"/>
        <v>15.130134479924095</v>
      </c>
      <c r="F130" s="30">
        <f t="shared" ca="1" si="23"/>
        <v>1.0364020991520007E-2</v>
      </c>
      <c r="G130" s="30">
        <v>128</v>
      </c>
      <c r="H130" s="30">
        <f t="shared" si="15"/>
        <v>0.276251667699208</v>
      </c>
      <c r="I130" s="30">
        <f t="shared" ca="1" si="16"/>
        <v>3.0188712207074104</v>
      </c>
      <c r="J130" s="30">
        <f t="shared" ca="1" si="17"/>
        <v>10.927974646634379</v>
      </c>
      <c r="K130" s="30">
        <f t="shared" ca="1" si="18"/>
        <v>1.7949027071669502E-5</v>
      </c>
      <c r="L130" s="30">
        <f t="shared" ca="1" si="19"/>
        <v>5.8205102234765089</v>
      </c>
      <c r="M130" s="1">
        <f t="shared" ca="1" si="20"/>
        <v>12.111263259216685</v>
      </c>
    </row>
    <row r="131" spans="1:13" x14ac:dyDescent="0.4">
      <c r="A131" s="1">
        <f t="shared" ca="1" si="24"/>
        <v>5.8205102234765089</v>
      </c>
      <c r="B131" s="30">
        <f t="shared" ca="1" si="21"/>
        <v>12.111263259216685</v>
      </c>
      <c r="C131" s="30">
        <f t="shared" ref="C131:C194" ca="1" si="26">2*(RAND()-0.5)</f>
        <v>0.70883768503520517</v>
      </c>
      <c r="D131" s="30">
        <f t="shared" ca="1" si="25"/>
        <v>6.5293479085117143</v>
      </c>
      <c r="E131" s="30">
        <f t="shared" ca="1" si="22"/>
        <v>18.807185615985645</v>
      </c>
      <c r="F131" s="30">
        <f t="shared" ca="1" si="23"/>
        <v>0.19513088315292038</v>
      </c>
      <c r="G131" s="30">
        <v>129</v>
      </c>
      <c r="H131" s="30">
        <f t="shared" ref="H131:H194" si="27">0.99^G131</f>
        <v>0.27348915102221594</v>
      </c>
      <c r="I131" s="30">
        <f t="shared" ref="I131:I194" ca="1" si="28">E131-B131</f>
        <v>6.6959223567689605</v>
      </c>
      <c r="J131" s="30">
        <f t="shared" ref="J131:J194" ca="1" si="29">I131/H131</f>
        <v>24.483319838252161</v>
      </c>
      <c r="K131" s="30">
        <f t="shared" ref="K131:K194" ca="1" si="30">IF(I131&lt;0,0,EXP(-J131))</f>
        <v>2.3282483056462746E-11</v>
      </c>
      <c r="L131" s="30">
        <f t="shared" ref="L131:L194" ca="1" si="31">IF(E131&lt;B131,D131,IF(F131&lt;K131,D131,A131))</f>
        <v>5.8205102234765089</v>
      </c>
      <c r="M131" s="1">
        <f t="shared" ref="M131:M194" ca="1" si="32">L131^4-16*L131^3+88*L131^2-190*L131+144</f>
        <v>12.111263259216685</v>
      </c>
    </row>
    <row r="132" spans="1:13" x14ac:dyDescent="0.4">
      <c r="A132" s="1">
        <f t="shared" ca="1" si="24"/>
        <v>5.8205102234765089</v>
      </c>
      <c r="B132" s="30">
        <f t="shared" ref="B132:B195" ca="1" si="33">A132^4-16*A132^3+88*A132^2-190*A132+144</f>
        <v>12.111263259216685</v>
      </c>
      <c r="C132" s="30">
        <f t="shared" ca="1" si="26"/>
        <v>0.24137073076397919</v>
      </c>
      <c r="D132" s="30">
        <f t="shared" ca="1" si="25"/>
        <v>6.0618809542404879</v>
      </c>
      <c r="E132" s="30">
        <f t="shared" ref="E132:E195" ca="1" si="34">D132^4-16*D132^3+88*D132^2-190*D132+144</f>
        <v>12.186940274007839</v>
      </c>
      <c r="F132" s="30">
        <f t="shared" ref="F132:F195" ca="1" si="35">RAND()</f>
        <v>0.84390886496611217</v>
      </c>
      <c r="G132" s="30">
        <v>130</v>
      </c>
      <c r="H132" s="30">
        <f t="shared" si="27"/>
        <v>0.27075425951199378</v>
      </c>
      <c r="I132" s="30">
        <f t="shared" ca="1" si="28"/>
        <v>7.5677014791153852E-2</v>
      </c>
      <c r="J132" s="30">
        <f t="shared" ca="1" si="29"/>
        <v>0.27950442932108899</v>
      </c>
      <c r="K132" s="30">
        <f t="shared" ca="1" si="30"/>
        <v>0.7561583785394983</v>
      </c>
      <c r="L132" s="30">
        <f t="shared" ca="1" si="31"/>
        <v>5.8205102234765089</v>
      </c>
      <c r="M132" s="1">
        <f t="shared" ca="1" si="32"/>
        <v>12.111263259216685</v>
      </c>
    </row>
    <row r="133" spans="1:13" x14ac:dyDescent="0.4">
      <c r="A133" s="1">
        <f t="shared" ca="1" si="24"/>
        <v>5.8205102234765089</v>
      </c>
      <c r="B133" s="30">
        <f t="shared" ca="1" si="33"/>
        <v>12.111263259216685</v>
      </c>
      <c r="C133" s="30">
        <f t="shared" ca="1" si="26"/>
        <v>0.16294196840434605</v>
      </c>
      <c r="D133" s="30">
        <f t="shared" ca="1" si="25"/>
        <v>5.983452191880855</v>
      </c>
      <c r="E133" s="30">
        <f t="shared" ca="1" si="34"/>
        <v>11.971249487716932</v>
      </c>
      <c r="F133" s="30">
        <f t="shared" ca="1" si="35"/>
        <v>0.21491448328983076</v>
      </c>
      <c r="G133" s="30">
        <v>131</v>
      </c>
      <c r="H133" s="30">
        <f t="shared" si="27"/>
        <v>0.26804671691687382</v>
      </c>
      <c r="I133" s="30">
        <f t="shared" ca="1" si="28"/>
        <v>-0.14001377149975269</v>
      </c>
      <c r="J133" s="30">
        <f t="shared" ca="1" si="29"/>
        <v>-0.52234839176625136</v>
      </c>
      <c r="K133" s="30">
        <f t="shared" ca="1" si="30"/>
        <v>0</v>
      </c>
      <c r="L133" s="30">
        <f t="shared" ca="1" si="31"/>
        <v>5.983452191880855</v>
      </c>
      <c r="M133" s="1">
        <f t="shared" ca="1" si="32"/>
        <v>11.971249487716932</v>
      </c>
    </row>
    <row r="134" spans="1:13" x14ac:dyDescent="0.4">
      <c r="A134" s="1">
        <f t="shared" ca="1" si="24"/>
        <v>5.983452191880855</v>
      </c>
      <c r="B134" s="30">
        <f t="shared" ca="1" si="33"/>
        <v>11.971249487716932</v>
      </c>
      <c r="C134" s="30">
        <f t="shared" ca="1" si="26"/>
        <v>-0.36536507389909123</v>
      </c>
      <c r="D134" s="30">
        <f t="shared" ca="1" si="25"/>
        <v>5.618087117981764</v>
      </c>
      <c r="E134" s="30">
        <f t="shared" ca="1" si="34"/>
        <v>13.145529111676751</v>
      </c>
      <c r="F134" s="30">
        <f t="shared" ca="1" si="35"/>
        <v>0.40293829485552302</v>
      </c>
      <c r="G134" s="30">
        <v>132</v>
      </c>
      <c r="H134" s="30">
        <f t="shared" si="27"/>
        <v>0.26536624974770506</v>
      </c>
      <c r="I134" s="30">
        <f t="shared" ca="1" si="28"/>
        <v>1.1742796239598192</v>
      </c>
      <c r="J134" s="30">
        <f t="shared" ca="1" si="29"/>
        <v>4.4251280073342283</v>
      </c>
      <c r="K134" s="30">
        <f t="shared" ca="1" si="30"/>
        <v>1.1972678612035312E-2</v>
      </c>
      <c r="L134" s="30">
        <f t="shared" ca="1" si="31"/>
        <v>5.983452191880855</v>
      </c>
      <c r="M134" s="1">
        <f t="shared" ca="1" si="32"/>
        <v>11.971249487716932</v>
      </c>
    </row>
    <row r="135" spans="1:13" x14ac:dyDescent="0.4">
      <c r="A135" s="1">
        <f t="shared" ca="1" si="24"/>
        <v>5.983452191880855</v>
      </c>
      <c r="B135" s="30">
        <f t="shared" ca="1" si="33"/>
        <v>11.971249487716932</v>
      </c>
      <c r="C135" s="30">
        <f t="shared" ca="1" si="26"/>
        <v>0.54984490948736453</v>
      </c>
      <c r="D135" s="30">
        <f t="shared" ca="1" si="25"/>
        <v>6.5332971013682197</v>
      </c>
      <c r="E135" s="30">
        <f t="shared" ca="1" si="34"/>
        <v>18.911355936986411</v>
      </c>
      <c r="F135" s="30">
        <f t="shared" ca="1" si="35"/>
        <v>5.3416222735541918E-2</v>
      </c>
      <c r="G135" s="30">
        <v>133</v>
      </c>
      <c r="H135" s="30">
        <f t="shared" si="27"/>
        <v>0.262712587250228</v>
      </c>
      <c r="I135" s="30">
        <f t="shared" ca="1" si="28"/>
        <v>6.9401064492694786</v>
      </c>
      <c r="J135" s="30">
        <f t="shared" ca="1" si="29"/>
        <v>26.417106701702036</v>
      </c>
      <c r="K135" s="30">
        <f t="shared" ca="1" si="30"/>
        <v>3.3666373062543012E-12</v>
      </c>
      <c r="L135" s="30">
        <f t="shared" ca="1" si="31"/>
        <v>5.983452191880855</v>
      </c>
      <c r="M135" s="1">
        <f t="shared" ca="1" si="32"/>
        <v>11.971249487716932</v>
      </c>
    </row>
    <row r="136" spans="1:13" x14ac:dyDescent="0.4">
      <c r="A136" s="1">
        <f t="shared" ca="1" si="24"/>
        <v>5.983452191880855</v>
      </c>
      <c r="B136" s="30">
        <f t="shared" ca="1" si="33"/>
        <v>11.971249487716932</v>
      </c>
      <c r="C136" s="30">
        <f t="shared" ca="1" si="26"/>
        <v>-0.89419511241757199</v>
      </c>
      <c r="D136" s="30">
        <f t="shared" ca="1" si="25"/>
        <v>5.089257079463283</v>
      </c>
      <c r="E136" s="30">
        <f t="shared" ca="1" si="34"/>
        <v>18.094403405787602</v>
      </c>
      <c r="F136" s="30">
        <f t="shared" ca="1" si="35"/>
        <v>1.1929415989849756E-3</v>
      </c>
      <c r="G136" s="30">
        <v>134</v>
      </c>
      <c r="H136" s="30">
        <f t="shared" si="27"/>
        <v>0.2600854613777257</v>
      </c>
      <c r="I136" s="30">
        <f t="shared" ca="1" si="28"/>
        <v>6.1231539180706704</v>
      </c>
      <c r="J136" s="30">
        <f t="shared" ca="1" si="29"/>
        <v>23.542853512976375</v>
      </c>
      <c r="K136" s="30">
        <f t="shared" ca="1" si="30"/>
        <v>5.9630524735405942E-11</v>
      </c>
      <c r="L136" s="30">
        <f t="shared" ca="1" si="31"/>
        <v>5.983452191880855</v>
      </c>
      <c r="M136" s="1">
        <f t="shared" ca="1" si="32"/>
        <v>11.971249487716932</v>
      </c>
    </row>
    <row r="137" spans="1:13" x14ac:dyDescent="0.4">
      <c r="A137" s="1">
        <f t="shared" ca="1" si="24"/>
        <v>5.983452191880855</v>
      </c>
      <c r="B137" s="30">
        <f t="shared" ca="1" si="33"/>
        <v>11.971249487716932</v>
      </c>
      <c r="C137" s="30">
        <f t="shared" ca="1" si="26"/>
        <v>0.45308381246000051</v>
      </c>
      <c r="D137" s="30">
        <f t="shared" ca="1" si="25"/>
        <v>6.436536004340855</v>
      </c>
      <c r="E137" s="30">
        <f t="shared" ca="1" si="34"/>
        <v>16.623908725661295</v>
      </c>
      <c r="F137" s="30">
        <f t="shared" ca="1" si="35"/>
        <v>0.64303019982839105</v>
      </c>
      <c r="G137" s="30">
        <v>135</v>
      </c>
      <c r="H137" s="30">
        <f t="shared" si="27"/>
        <v>0.25748460676394846</v>
      </c>
      <c r="I137" s="30">
        <f t="shared" ca="1" si="28"/>
        <v>4.6526592379443628</v>
      </c>
      <c r="J137" s="30">
        <f t="shared" ca="1" si="29"/>
        <v>18.06965976109684</v>
      </c>
      <c r="K137" s="30">
        <f t="shared" ca="1" si="30"/>
        <v>1.4205171321052386E-8</v>
      </c>
      <c r="L137" s="30">
        <f t="shared" ca="1" si="31"/>
        <v>5.983452191880855</v>
      </c>
      <c r="M137" s="1">
        <f t="shared" ca="1" si="32"/>
        <v>11.971249487716932</v>
      </c>
    </row>
    <row r="138" spans="1:13" x14ac:dyDescent="0.4">
      <c r="A138" s="1">
        <f t="shared" ca="1" si="24"/>
        <v>5.983452191880855</v>
      </c>
      <c r="B138" s="30">
        <f t="shared" ca="1" si="33"/>
        <v>11.971249487716932</v>
      </c>
      <c r="C138" s="30">
        <f t="shared" ca="1" si="26"/>
        <v>0.61742396795522514</v>
      </c>
      <c r="D138" s="30">
        <f t="shared" ca="1" si="25"/>
        <v>6.6008761598360799</v>
      </c>
      <c r="E138" s="30">
        <f t="shared" ca="1" si="34"/>
        <v>20.844526613484049</v>
      </c>
      <c r="F138" s="30">
        <f t="shared" ca="1" si="35"/>
        <v>0.60259558819356485</v>
      </c>
      <c r="G138" s="30">
        <v>136</v>
      </c>
      <c r="H138" s="30">
        <f t="shared" si="27"/>
        <v>0.254909760696309</v>
      </c>
      <c r="I138" s="30">
        <f t="shared" ca="1" si="28"/>
        <v>8.8732771257671175</v>
      </c>
      <c r="J138" s="30">
        <f t="shared" ca="1" si="29"/>
        <v>34.809483565984138</v>
      </c>
      <c r="K138" s="30">
        <f t="shared" ca="1" si="30"/>
        <v>7.6283984527498391E-16</v>
      </c>
      <c r="L138" s="30">
        <f t="shared" ca="1" si="31"/>
        <v>5.983452191880855</v>
      </c>
      <c r="M138" s="1">
        <f t="shared" ca="1" si="32"/>
        <v>11.971249487716932</v>
      </c>
    </row>
    <row r="139" spans="1:13" x14ac:dyDescent="0.4">
      <c r="A139" s="1">
        <f t="shared" ca="1" si="24"/>
        <v>5.983452191880855</v>
      </c>
      <c r="B139" s="30">
        <f t="shared" ca="1" si="33"/>
        <v>11.971249487716932</v>
      </c>
      <c r="C139" s="30">
        <f t="shared" ca="1" si="26"/>
        <v>-0.57239958677025804</v>
      </c>
      <c r="D139" s="30">
        <f t="shared" ca="1" si="25"/>
        <v>5.4110526051105969</v>
      </c>
      <c r="E139" s="30">
        <f t="shared" ca="1" si="34"/>
        <v>14.857907147308424</v>
      </c>
      <c r="F139" s="30">
        <f t="shared" ca="1" si="35"/>
        <v>0.15067583228785464</v>
      </c>
      <c r="G139" s="30">
        <v>137</v>
      </c>
      <c r="H139" s="30">
        <f t="shared" si="27"/>
        <v>0.25236066308934585</v>
      </c>
      <c r="I139" s="30">
        <f t="shared" ca="1" si="28"/>
        <v>2.8866576595914921</v>
      </c>
      <c r="J139" s="30">
        <f t="shared" ca="1" si="29"/>
        <v>11.438619728818429</v>
      </c>
      <c r="K139" s="30">
        <f t="shared" ca="1" si="30"/>
        <v>1.077136074597333E-5</v>
      </c>
      <c r="L139" s="30">
        <f t="shared" ca="1" si="31"/>
        <v>5.983452191880855</v>
      </c>
      <c r="M139" s="1">
        <f t="shared" ca="1" si="32"/>
        <v>11.971249487716932</v>
      </c>
    </row>
    <row r="140" spans="1:13" x14ac:dyDescent="0.4">
      <c r="A140" s="1">
        <f t="shared" ca="1" si="24"/>
        <v>5.983452191880855</v>
      </c>
      <c r="B140" s="30">
        <f t="shared" ca="1" si="33"/>
        <v>11.971249487716932</v>
      </c>
      <c r="C140" s="30">
        <f t="shared" ca="1" si="26"/>
        <v>-0.92046608910819572</v>
      </c>
      <c r="D140" s="30">
        <f t="shared" ca="1" si="25"/>
        <v>5.0629861027726593</v>
      </c>
      <c r="E140" s="30">
        <f t="shared" ca="1" si="34"/>
        <v>18.363219739303531</v>
      </c>
      <c r="F140" s="30">
        <f t="shared" ca="1" si="35"/>
        <v>0.53405818084317325</v>
      </c>
      <c r="G140" s="30">
        <v>138</v>
      </c>
      <c r="H140" s="30">
        <f t="shared" si="27"/>
        <v>0.24983705645845242</v>
      </c>
      <c r="I140" s="30">
        <f t="shared" ca="1" si="28"/>
        <v>6.3919702515865993</v>
      </c>
      <c r="J140" s="30">
        <f t="shared" ca="1" si="29"/>
        <v>25.584556359234785</v>
      </c>
      <c r="K140" s="30">
        <f t="shared" ca="1" si="30"/>
        <v>7.7404881701671282E-12</v>
      </c>
      <c r="L140" s="30">
        <f t="shared" ca="1" si="31"/>
        <v>5.983452191880855</v>
      </c>
      <c r="M140" s="1">
        <f t="shared" ca="1" si="32"/>
        <v>11.971249487716932</v>
      </c>
    </row>
    <row r="141" spans="1:13" x14ac:dyDescent="0.4">
      <c r="A141" s="1">
        <f t="shared" ca="1" si="24"/>
        <v>5.983452191880855</v>
      </c>
      <c r="B141" s="30">
        <f t="shared" ca="1" si="33"/>
        <v>11.971249487716932</v>
      </c>
      <c r="C141" s="30">
        <f t="shared" ca="1" si="26"/>
        <v>-0.39483294612668107</v>
      </c>
      <c r="D141" s="30">
        <f t="shared" ca="1" si="25"/>
        <v>5.5886192457541739</v>
      </c>
      <c r="E141" s="30">
        <f t="shared" ca="1" si="34"/>
        <v>13.356667384208322</v>
      </c>
      <c r="F141" s="30">
        <f t="shared" ca="1" si="35"/>
        <v>0.1043119799533847</v>
      </c>
      <c r="G141" s="30">
        <v>139</v>
      </c>
      <c r="H141" s="30">
        <f t="shared" si="27"/>
        <v>0.2473386858938679</v>
      </c>
      <c r="I141" s="30">
        <f t="shared" ca="1" si="28"/>
        <v>1.3854178964913899</v>
      </c>
      <c r="J141" s="30">
        <f t="shared" ca="1" si="29"/>
        <v>5.6012988485184545</v>
      </c>
      <c r="K141" s="30">
        <f t="shared" ca="1" si="30"/>
        <v>3.6930638694851925E-3</v>
      </c>
      <c r="L141" s="30">
        <f t="shared" ca="1" si="31"/>
        <v>5.983452191880855</v>
      </c>
      <c r="M141" s="1">
        <f t="shared" ca="1" si="32"/>
        <v>11.971249487716932</v>
      </c>
    </row>
    <row r="142" spans="1:13" x14ac:dyDescent="0.4">
      <c r="A142" s="1">
        <f t="shared" ca="1" si="24"/>
        <v>5.983452191880855</v>
      </c>
      <c r="B142" s="30">
        <f t="shared" ca="1" si="33"/>
        <v>11.971249487716932</v>
      </c>
      <c r="C142" s="30">
        <f t="shared" ca="1" si="26"/>
        <v>0.40906214255436479</v>
      </c>
      <c r="D142" s="30">
        <f t="shared" ca="1" si="25"/>
        <v>6.3925143344352193</v>
      </c>
      <c r="E142" s="30">
        <f t="shared" ca="1" si="34"/>
        <v>15.757635134423708</v>
      </c>
      <c r="F142" s="30">
        <f t="shared" ca="1" si="35"/>
        <v>0.62490025561659535</v>
      </c>
      <c r="G142" s="30">
        <v>140</v>
      </c>
      <c r="H142" s="30">
        <f t="shared" si="27"/>
        <v>0.24486529903492921</v>
      </c>
      <c r="I142" s="30">
        <f t="shared" ca="1" si="28"/>
        <v>3.7863856467067762</v>
      </c>
      <c r="J142" s="30">
        <f t="shared" ca="1" si="29"/>
        <v>15.463136923156519</v>
      </c>
      <c r="K142" s="30">
        <f t="shared" ca="1" si="30"/>
        <v>1.9250630641524399E-7</v>
      </c>
      <c r="L142" s="30">
        <f t="shared" ca="1" si="31"/>
        <v>5.983452191880855</v>
      </c>
      <c r="M142" s="1">
        <f t="shared" ca="1" si="32"/>
        <v>11.971249487716932</v>
      </c>
    </row>
    <row r="143" spans="1:13" x14ac:dyDescent="0.4">
      <c r="A143" s="1">
        <f t="shared" ca="1" si="24"/>
        <v>5.983452191880855</v>
      </c>
      <c r="B143" s="30">
        <f t="shared" ca="1" si="33"/>
        <v>11.971249487716932</v>
      </c>
      <c r="C143" s="30">
        <f t="shared" ca="1" si="26"/>
        <v>0.7163888078689773</v>
      </c>
      <c r="D143" s="30">
        <f t="shared" ca="1" si="25"/>
        <v>6.6998409997498323</v>
      </c>
      <c r="E143" s="30">
        <f t="shared" ca="1" si="34"/>
        <v>24.218133306113032</v>
      </c>
      <c r="F143" s="30">
        <f t="shared" ca="1" si="35"/>
        <v>0.66316998575726482</v>
      </c>
      <c r="G143" s="30">
        <v>141</v>
      </c>
      <c r="H143" s="30">
        <f t="shared" si="27"/>
        <v>0.24241664604457991</v>
      </c>
      <c r="I143" s="30">
        <f t="shared" ca="1" si="28"/>
        <v>12.2468838183961</v>
      </c>
      <c r="J143" s="30">
        <f t="shared" ca="1" si="29"/>
        <v>50.519978797759308</v>
      </c>
      <c r="K143" s="30">
        <f t="shared" ca="1" si="30"/>
        <v>1.1467057289820662E-22</v>
      </c>
      <c r="L143" s="30">
        <f t="shared" ca="1" si="31"/>
        <v>5.983452191880855</v>
      </c>
      <c r="M143" s="1">
        <f t="shared" ca="1" si="32"/>
        <v>11.971249487716932</v>
      </c>
    </row>
    <row r="144" spans="1:13" x14ac:dyDescent="0.4">
      <c r="A144" s="1">
        <f t="shared" ca="1" si="24"/>
        <v>5.983452191880855</v>
      </c>
      <c r="B144" s="30">
        <f t="shared" ca="1" si="33"/>
        <v>11.971249487716932</v>
      </c>
      <c r="C144" s="30">
        <f t="shared" ca="1" si="26"/>
        <v>-0.1143048851874513</v>
      </c>
      <c r="D144" s="30">
        <f t="shared" ca="1" si="25"/>
        <v>5.8691473066934039</v>
      </c>
      <c r="E144" s="30">
        <f t="shared" ca="1" si="34"/>
        <v>11.994622502561697</v>
      </c>
      <c r="F144" s="30">
        <f t="shared" ca="1" si="35"/>
        <v>0.14375470453648065</v>
      </c>
      <c r="G144" s="30">
        <v>142</v>
      </c>
      <c r="H144" s="30">
        <f t="shared" si="27"/>
        <v>0.23999247958413411</v>
      </c>
      <c r="I144" s="30">
        <f t="shared" ca="1" si="28"/>
        <v>2.3373014844764839E-2</v>
      </c>
      <c r="J144" s="30">
        <f t="shared" ca="1" si="29"/>
        <v>9.7390613594502101E-2</v>
      </c>
      <c r="K144" s="30">
        <f t="shared" ca="1" si="30"/>
        <v>0.90720157164747584</v>
      </c>
      <c r="L144" s="30">
        <f t="shared" ca="1" si="31"/>
        <v>5.8691473066934039</v>
      </c>
      <c r="M144" s="1">
        <f t="shared" ca="1" si="32"/>
        <v>11.994622502561697</v>
      </c>
    </row>
    <row r="145" spans="1:13" x14ac:dyDescent="0.4">
      <c r="A145" s="1">
        <f t="shared" ca="1" si="24"/>
        <v>5.8691473066934039</v>
      </c>
      <c r="B145" s="30">
        <f t="shared" ca="1" si="33"/>
        <v>11.994622502561697</v>
      </c>
      <c r="C145" s="30">
        <f t="shared" ca="1" si="26"/>
        <v>-0.7919060224447001</v>
      </c>
      <c r="D145" s="30">
        <f t="shared" ca="1" si="25"/>
        <v>5.0772412842487036</v>
      </c>
      <c r="E145" s="30">
        <f t="shared" ca="1" si="34"/>
        <v>18.217533674002766</v>
      </c>
      <c r="F145" s="30">
        <f t="shared" ca="1" si="35"/>
        <v>0.4086411195641394</v>
      </c>
      <c r="G145" s="30">
        <v>143</v>
      </c>
      <c r="H145" s="30">
        <f t="shared" si="27"/>
        <v>0.23759255478829278</v>
      </c>
      <c r="I145" s="30">
        <f t="shared" ca="1" si="28"/>
        <v>6.2229111714410692</v>
      </c>
      <c r="J145" s="30">
        <f t="shared" ca="1" si="29"/>
        <v>26.191524296651483</v>
      </c>
      <c r="K145" s="30">
        <f t="shared" ca="1" si="30"/>
        <v>4.2185725784552184E-12</v>
      </c>
      <c r="L145" s="30">
        <f t="shared" ca="1" si="31"/>
        <v>5.8691473066934039</v>
      </c>
      <c r="M145" s="1">
        <f t="shared" ca="1" si="32"/>
        <v>11.994622502561697</v>
      </c>
    </row>
    <row r="146" spans="1:13" x14ac:dyDescent="0.4">
      <c r="A146" s="1">
        <f t="shared" ca="1" si="24"/>
        <v>5.8691473066934039</v>
      </c>
      <c r="B146" s="30">
        <f t="shared" ca="1" si="33"/>
        <v>11.994622502561697</v>
      </c>
      <c r="C146" s="30">
        <f t="shared" ca="1" si="26"/>
        <v>0.6396415017477346</v>
      </c>
      <c r="D146" s="30">
        <f t="shared" ca="1" si="25"/>
        <v>6.5087888084411389</v>
      </c>
      <c r="E146" s="30">
        <f t="shared" ca="1" si="34"/>
        <v>18.280111274565343</v>
      </c>
      <c r="F146" s="30">
        <f t="shared" ca="1" si="35"/>
        <v>5.2183934879274863E-2</v>
      </c>
      <c r="G146" s="30">
        <v>144</v>
      </c>
      <c r="H146" s="30">
        <f t="shared" si="27"/>
        <v>0.23521662924040984</v>
      </c>
      <c r="I146" s="30">
        <f t="shared" ca="1" si="28"/>
        <v>6.2854887720036459</v>
      </c>
      <c r="J146" s="30">
        <f t="shared" ca="1" si="29"/>
        <v>26.722127565136493</v>
      </c>
      <c r="K146" s="30">
        <f t="shared" ca="1" si="30"/>
        <v>2.4815752768156745E-12</v>
      </c>
      <c r="L146" s="30">
        <f t="shared" ca="1" si="31"/>
        <v>5.8691473066934039</v>
      </c>
      <c r="M146" s="1">
        <f t="shared" ca="1" si="32"/>
        <v>11.994622502561697</v>
      </c>
    </row>
    <row r="147" spans="1:13" x14ac:dyDescent="0.4">
      <c r="A147" s="1">
        <f t="shared" ca="1" si="24"/>
        <v>5.8691473066934039</v>
      </c>
      <c r="B147" s="30">
        <f t="shared" ca="1" si="33"/>
        <v>11.994622502561697</v>
      </c>
      <c r="C147" s="30">
        <f t="shared" ca="1" si="26"/>
        <v>-3.2812307681834962E-2</v>
      </c>
      <c r="D147" s="30">
        <f t="shared" ca="1" si="25"/>
        <v>5.8363349990115694</v>
      </c>
      <c r="E147" s="30">
        <f t="shared" ca="1" si="34"/>
        <v>12.0668954708417</v>
      </c>
      <c r="F147" s="30">
        <f t="shared" ca="1" si="35"/>
        <v>0.20484111642936942</v>
      </c>
      <c r="G147" s="30">
        <v>145</v>
      </c>
      <c r="H147" s="30">
        <f t="shared" si="27"/>
        <v>0.23286446294800572</v>
      </c>
      <c r="I147" s="30">
        <f t="shared" ca="1" si="28"/>
        <v>7.2272968280003624E-2</v>
      </c>
      <c r="J147" s="30">
        <f t="shared" ca="1" si="29"/>
        <v>0.3103649537806068</v>
      </c>
      <c r="K147" s="30">
        <f t="shared" ca="1" si="30"/>
        <v>0.73317933082316211</v>
      </c>
      <c r="L147" s="30">
        <f t="shared" ca="1" si="31"/>
        <v>5.8363349990115694</v>
      </c>
      <c r="M147" s="1">
        <f t="shared" ca="1" si="32"/>
        <v>12.0668954708417</v>
      </c>
    </row>
    <row r="148" spans="1:13" x14ac:dyDescent="0.4">
      <c r="A148" s="1">
        <f t="shared" ref="A148:A211" ca="1" si="36">L147</f>
        <v>5.8363349990115694</v>
      </c>
      <c r="B148" s="30">
        <f t="shared" ca="1" si="33"/>
        <v>12.0668954708417</v>
      </c>
      <c r="C148" s="30">
        <f t="shared" ca="1" si="26"/>
        <v>-0.42470915610321303</v>
      </c>
      <c r="D148" s="30">
        <f t="shared" ref="D148:D211" ca="1" si="37">A148+C148</f>
        <v>5.4116258429083564</v>
      </c>
      <c r="E148" s="30">
        <f t="shared" ca="1" si="34"/>
        <v>14.852555076707858</v>
      </c>
      <c r="F148" s="30">
        <f t="shared" ca="1" si="35"/>
        <v>0.84487199993035411</v>
      </c>
      <c r="G148" s="30">
        <v>146</v>
      </c>
      <c r="H148" s="30">
        <f t="shared" si="27"/>
        <v>0.23053581831852568</v>
      </c>
      <c r="I148" s="30">
        <f t="shared" ca="1" si="28"/>
        <v>2.785659605866158</v>
      </c>
      <c r="J148" s="30">
        <f t="shared" ca="1" si="29"/>
        <v>12.08341344171204</v>
      </c>
      <c r="K148" s="30">
        <f t="shared" ca="1" si="30"/>
        <v>5.6524954275942488E-6</v>
      </c>
      <c r="L148" s="30">
        <f t="shared" ca="1" si="31"/>
        <v>5.8363349990115694</v>
      </c>
      <c r="M148" s="1">
        <f t="shared" ca="1" si="32"/>
        <v>12.0668954708417</v>
      </c>
    </row>
    <row r="149" spans="1:13" x14ac:dyDescent="0.4">
      <c r="A149" s="1">
        <f t="shared" ca="1" si="36"/>
        <v>5.8363349990115694</v>
      </c>
      <c r="B149" s="30">
        <f t="shared" ca="1" si="33"/>
        <v>12.0668954708417</v>
      </c>
      <c r="C149" s="30">
        <f t="shared" ca="1" si="26"/>
        <v>0.27917795807396706</v>
      </c>
      <c r="D149" s="30">
        <f t="shared" ca="1" si="37"/>
        <v>6.1155129570855369</v>
      </c>
      <c r="E149" s="30">
        <f t="shared" ca="1" si="34"/>
        <v>12.457026388269924</v>
      </c>
      <c r="F149" s="30">
        <f t="shared" ca="1" si="35"/>
        <v>1.8522771504441704E-2</v>
      </c>
      <c r="G149" s="30">
        <v>147</v>
      </c>
      <c r="H149" s="30">
        <f t="shared" si="27"/>
        <v>0.2282304601353404</v>
      </c>
      <c r="I149" s="30">
        <f t="shared" ca="1" si="28"/>
        <v>0.39013091742822326</v>
      </c>
      <c r="J149" s="30">
        <f t="shared" ca="1" si="29"/>
        <v>1.7093726980915522</v>
      </c>
      <c r="K149" s="30">
        <f t="shared" ca="1" si="30"/>
        <v>0.18097928566748556</v>
      </c>
      <c r="L149" s="30">
        <f t="shared" ca="1" si="31"/>
        <v>6.1155129570855369</v>
      </c>
      <c r="M149" s="1">
        <f t="shared" ca="1" si="32"/>
        <v>12.457026388269924</v>
      </c>
    </row>
    <row r="150" spans="1:13" x14ac:dyDescent="0.4">
      <c r="A150" s="1">
        <f t="shared" ca="1" si="36"/>
        <v>6.1155129570855369</v>
      </c>
      <c r="B150" s="30">
        <f t="shared" ca="1" si="33"/>
        <v>12.457026388269924</v>
      </c>
      <c r="C150" s="30">
        <f t="shared" ca="1" si="26"/>
        <v>-0.62559012687646898</v>
      </c>
      <c r="D150" s="30">
        <f t="shared" ca="1" si="37"/>
        <v>5.4899228302090677</v>
      </c>
      <c r="E150" s="30">
        <f t="shared" ca="1" si="34"/>
        <v>14.148708334985258</v>
      </c>
      <c r="F150" s="30">
        <f t="shared" ca="1" si="35"/>
        <v>0.82526957557384606</v>
      </c>
      <c r="G150" s="30">
        <v>148</v>
      </c>
      <c r="H150" s="30">
        <f t="shared" si="27"/>
        <v>0.22594815553398703</v>
      </c>
      <c r="I150" s="30">
        <f t="shared" ca="1" si="28"/>
        <v>1.6916819467153346</v>
      </c>
      <c r="J150" s="30">
        <f t="shared" ca="1" si="29"/>
        <v>7.4870358765149225</v>
      </c>
      <c r="K150" s="30">
        <f t="shared" ca="1" si="30"/>
        <v>5.6030130375132338E-4</v>
      </c>
      <c r="L150" s="30">
        <f t="shared" ca="1" si="31"/>
        <v>6.1155129570855369</v>
      </c>
      <c r="M150" s="1">
        <f t="shared" ca="1" si="32"/>
        <v>12.457026388269924</v>
      </c>
    </row>
    <row r="151" spans="1:13" x14ac:dyDescent="0.4">
      <c r="A151" s="1">
        <f t="shared" ca="1" si="36"/>
        <v>6.1155129570855369</v>
      </c>
      <c r="B151" s="30">
        <f t="shared" ca="1" si="33"/>
        <v>12.457026388269924</v>
      </c>
      <c r="C151" s="30">
        <f t="shared" ca="1" si="26"/>
        <v>-3.9835258387357797E-2</v>
      </c>
      <c r="D151" s="30">
        <f t="shared" ca="1" si="37"/>
        <v>6.0756776986981791</v>
      </c>
      <c r="E151" s="30">
        <f t="shared" ca="1" si="34"/>
        <v>12.246489341026518</v>
      </c>
      <c r="F151" s="30">
        <f t="shared" ca="1" si="35"/>
        <v>0.33877100831190354</v>
      </c>
      <c r="G151" s="30">
        <v>149</v>
      </c>
      <c r="H151" s="30">
        <f t="shared" si="27"/>
        <v>0.22368867397864714</v>
      </c>
      <c r="I151" s="30">
        <f t="shared" ca="1" si="28"/>
        <v>-0.21053704724340605</v>
      </c>
      <c r="J151" s="30">
        <f t="shared" ca="1" si="29"/>
        <v>-0.94120566543974182</v>
      </c>
      <c r="K151" s="30">
        <f t="shared" ca="1" si="30"/>
        <v>0</v>
      </c>
      <c r="L151" s="30">
        <f t="shared" ca="1" si="31"/>
        <v>6.0756776986981791</v>
      </c>
      <c r="M151" s="1">
        <f t="shared" ca="1" si="32"/>
        <v>12.246489341026518</v>
      </c>
    </row>
    <row r="152" spans="1:13" x14ac:dyDescent="0.4">
      <c r="A152" s="1">
        <f t="shared" ca="1" si="36"/>
        <v>6.0756776986981791</v>
      </c>
      <c r="B152" s="30">
        <f t="shared" ca="1" si="33"/>
        <v>12.246489341026518</v>
      </c>
      <c r="C152" s="30">
        <f t="shared" ca="1" si="26"/>
        <v>-0.42542208052838859</v>
      </c>
      <c r="D152" s="30">
        <f t="shared" ca="1" si="37"/>
        <v>5.6502556181697905</v>
      </c>
      <c r="E152" s="30">
        <f t="shared" ca="1" si="34"/>
        <v>12.930362786465594</v>
      </c>
      <c r="F152" s="30">
        <f t="shared" ca="1" si="35"/>
        <v>0.96075428816772146</v>
      </c>
      <c r="G152" s="30">
        <v>150</v>
      </c>
      <c r="H152" s="30">
        <f t="shared" si="27"/>
        <v>0.22145178723886064</v>
      </c>
      <c r="I152" s="30">
        <f t="shared" ca="1" si="28"/>
        <v>0.68387344543907602</v>
      </c>
      <c r="J152" s="30">
        <f t="shared" ca="1" si="29"/>
        <v>3.0881369437828998</v>
      </c>
      <c r="K152" s="30">
        <f t="shared" ca="1" si="30"/>
        <v>4.5586806120880854E-2</v>
      </c>
      <c r="L152" s="30">
        <f t="shared" ca="1" si="31"/>
        <v>6.0756776986981791</v>
      </c>
      <c r="M152" s="1">
        <f t="shared" ca="1" si="32"/>
        <v>12.246489341026518</v>
      </c>
    </row>
    <row r="153" spans="1:13" x14ac:dyDescent="0.4">
      <c r="A153" s="1">
        <f t="shared" ca="1" si="36"/>
        <v>6.0756776986981791</v>
      </c>
      <c r="B153" s="30">
        <f t="shared" ca="1" si="33"/>
        <v>12.246489341026518</v>
      </c>
      <c r="C153" s="30">
        <f t="shared" ca="1" si="26"/>
        <v>0.88747967314304366</v>
      </c>
      <c r="D153" s="30">
        <f t="shared" ca="1" si="37"/>
        <v>6.9631573718412225</v>
      </c>
      <c r="E153" s="30">
        <f t="shared" ca="1" si="34"/>
        <v>36.77759822908979</v>
      </c>
      <c r="F153" s="30">
        <f t="shared" ca="1" si="35"/>
        <v>0.13474087931065182</v>
      </c>
      <c r="G153" s="30">
        <v>151</v>
      </c>
      <c r="H153" s="30">
        <f t="shared" si="27"/>
        <v>0.21923726936647206</v>
      </c>
      <c r="I153" s="30">
        <f t="shared" ca="1" si="28"/>
        <v>24.531108888063272</v>
      </c>
      <c r="J153" s="30">
        <f t="shared" ca="1" si="29"/>
        <v>111.89296855845083</v>
      </c>
      <c r="K153" s="30">
        <f t="shared" ca="1" si="30"/>
        <v>2.5439067711794253E-49</v>
      </c>
      <c r="L153" s="30">
        <f t="shared" ca="1" si="31"/>
        <v>6.0756776986981791</v>
      </c>
      <c r="M153" s="1">
        <f t="shared" ca="1" si="32"/>
        <v>12.246489341026518</v>
      </c>
    </row>
    <row r="154" spans="1:13" x14ac:dyDescent="0.4">
      <c r="A154" s="1">
        <f t="shared" ca="1" si="36"/>
        <v>6.0756776986981791</v>
      </c>
      <c r="B154" s="30">
        <f t="shared" ca="1" si="33"/>
        <v>12.246489341026518</v>
      </c>
      <c r="C154" s="30">
        <f t="shared" ca="1" si="26"/>
        <v>0.84190272796896704</v>
      </c>
      <c r="D154" s="30">
        <f t="shared" ca="1" si="37"/>
        <v>6.9175804266671461</v>
      </c>
      <c r="E154" s="30">
        <f t="shared" ca="1" si="34"/>
        <v>34.195791457006408</v>
      </c>
      <c r="F154" s="30">
        <f t="shared" ca="1" si="35"/>
        <v>0.94969850364623953</v>
      </c>
      <c r="G154" s="30">
        <v>152</v>
      </c>
      <c r="H154" s="30">
        <f t="shared" si="27"/>
        <v>0.21704489667280732</v>
      </c>
      <c r="I154" s="30">
        <f t="shared" ca="1" si="28"/>
        <v>21.94930211597989</v>
      </c>
      <c r="J154" s="30">
        <f t="shared" ca="1" si="29"/>
        <v>101.1279345999469</v>
      </c>
      <c r="K154" s="30">
        <f t="shared" ca="1" si="30"/>
        <v>1.2041928299049494E-44</v>
      </c>
      <c r="L154" s="30">
        <f t="shared" ca="1" si="31"/>
        <v>6.0756776986981791</v>
      </c>
      <c r="M154" s="1">
        <f t="shared" ca="1" si="32"/>
        <v>12.246489341026518</v>
      </c>
    </row>
    <row r="155" spans="1:13" x14ac:dyDescent="0.4">
      <c r="A155" s="1">
        <f t="shared" ca="1" si="36"/>
        <v>6.0756776986981791</v>
      </c>
      <c r="B155" s="30">
        <f t="shared" ca="1" si="33"/>
        <v>12.246489341026518</v>
      </c>
      <c r="C155" s="30">
        <f t="shared" ca="1" si="26"/>
        <v>0.7015570466503438</v>
      </c>
      <c r="D155" s="30">
        <f t="shared" ca="1" si="37"/>
        <v>6.7772347453485224</v>
      </c>
      <c r="E155" s="30">
        <f t="shared" ca="1" si="34"/>
        <v>27.341082293080945</v>
      </c>
      <c r="F155" s="30">
        <f t="shared" ca="1" si="35"/>
        <v>0.96461145934586323</v>
      </c>
      <c r="G155" s="30">
        <v>153</v>
      </c>
      <c r="H155" s="30">
        <f t="shared" si="27"/>
        <v>0.21487444770607925</v>
      </c>
      <c r="I155" s="30">
        <f t="shared" ca="1" si="28"/>
        <v>15.094592952054427</v>
      </c>
      <c r="J155" s="30">
        <f t="shared" ca="1" si="29"/>
        <v>70.248431645543533</v>
      </c>
      <c r="K155" s="30">
        <f t="shared" ca="1" si="30"/>
        <v>3.1009429332983202E-31</v>
      </c>
      <c r="L155" s="30">
        <f t="shared" ca="1" si="31"/>
        <v>6.0756776986981791</v>
      </c>
      <c r="M155" s="1">
        <f t="shared" ca="1" si="32"/>
        <v>12.246489341026518</v>
      </c>
    </row>
    <row r="156" spans="1:13" x14ac:dyDescent="0.4">
      <c r="A156" s="1">
        <f t="shared" ca="1" si="36"/>
        <v>6.0756776986981791</v>
      </c>
      <c r="B156" s="30">
        <f t="shared" ca="1" si="33"/>
        <v>12.246489341026518</v>
      </c>
      <c r="C156" s="30">
        <f t="shared" ca="1" si="26"/>
        <v>-0.48921708507201922</v>
      </c>
      <c r="D156" s="30">
        <f t="shared" ca="1" si="37"/>
        <v>5.5864606136261603</v>
      </c>
      <c r="E156" s="30">
        <f t="shared" ca="1" si="34"/>
        <v>13.372633559332144</v>
      </c>
      <c r="F156" s="30">
        <f t="shared" ca="1" si="35"/>
        <v>0.75254359050889363</v>
      </c>
      <c r="G156" s="30">
        <v>154</v>
      </c>
      <c r="H156" s="30">
        <f t="shared" si="27"/>
        <v>0.21272570322901846</v>
      </c>
      <c r="I156" s="30">
        <f t="shared" ca="1" si="28"/>
        <v>1.1261442183056261</v>
      </c>
      <c r="J156" s="30">
        <f t="shared" ca="1" si="29"/>
        <v>5.2938794006158716</v>
      </c>
      <c r="K156" s="30">
        <f t="shared" ca="1" si="30"/>
        <v>5.0222391414358695E-3</v>
      </c>
      <c r="L156" s="30">
        <f t="shared" ca="1" si="31"/>
        <v>6.0756776986981791</v>
      </c>
      <c r="M156" s="1">
        <f t="shared" ca="1" si="32"/>
        <v>12.246489341026518</v>
      </c>
    </row>
    <row r="157" spans="1:13" x14ac:dyDescent="0.4">
      <c r="A157" s="1">
        <f t="shared" ca="1" si="36"/>
        <v>6.0756776986981791</v>
      </c>
      <c r="B157" s="30">
        <f t="shared" ca="1" si="33"/>
        <v>12.246489341026518</v>
      </c>
      <c r="C157" s="30">
        <f t="shared" ca="1" si="26"/>
        <v>0.40306060560513668</v>
      </c>
      <c r="D157" s="30">
        <f t="shared" ca="1" si="37"/>
        <v>6.4787383043033158</v>
      </c>
      <c r="E157" s="30">
        <f t="shared" ca="1" si="34"/>
        <v>17.554828305495448</v>
      </c>
      <c r="F157" s="30">
        <f t="shared" ca="1" si="35"/>
        <v>0.41185122270681718</v>
      </c>
      <c r="G157" s="30">
        <v>155</v>
      </c>
      <c r="H157" s="30">
        <f t="shared" si="27"/>
        <v>0.21059844619672827</v>
      </c>
      <c r="I157" s="30">
        <f t="shared" ca="1" si="28"/>
        <v>5.3083389644689305</v>
      </c>
      <c r="J157" s="30">
        <f t="shared" ca="1" si="29"/>
        <v>25.205974024662094</v>
      </c>
      <c r="K157" s="30">
        <f t="shared" ca="1" si="30"/>
        <v>1.1302761668108729E-11</v>
      </c>
      <c r="L157" s="30">
        <f t="shared" ca="1" si="31"/>
        <v>6.0756776986981791</v>
      </c>
      <c r="M157" s="1">
        <f t="shared" ca="1" si="32"/>
        <v>12.246489341026518</v>
      </c>
    </row>
    <row r="158" spans="1:13" x14ac:dyDescent="0.4">
      <c r="A158" s="1">
        <f t="shared" ca="1" si="36"/>
        <v>6.0756776986981791</v>
      </c>
      <c r="B158" s="30">
        <f t="shared" ca="1" si="33"/>
        <v>12.246489341026518</v>
      </c>
      <c r="C158" s="30">
        <f t="shared" ca="1" si="26"/>
        <v>-0.59827733840797381</v>
      </c>
      <c r="D158" s="30">
        <f t="shared" ca="1" si="37"/>
        <v>5.4774003602902051</v>
      </c>
      <c r="E158" s="30">
        <f t="shared" ca="1" si="34"/>
        <v>14.257337033081512</v>
      </c>
      <c r="F158" s="30">
        <f t="shared" ca="1" si="35"/>
        <v>0.41584488428819599</v>
      </c>
      <c r="G158" s="30">
        <v>156</v>
      </c>
      <c r="H158" s="30">
        <f t="shared" si="27"/>
        <v>0.20849246173476096</v>
      </c>
      <c r="I158" s="30">
        <f t="shared" ca="1" si="28"/>
        <v>2.0108476920549947</v>
      </c>
      <c r="J158" s="30">
        <f t="shared" ca="1" si="29"/>
        <v>9.6447021409011242</v>
      </c>
      <c r="K158" s="30">
        <f t="shared" ca="1" si="30"/>
        <v>6.4767790335844172E-5</v>
      </c>
      <c r="L158" s="30">
        <f t="shared" ca="1" si="31"/>
        <v>6.0756776986981791</v>
      </c>
      <c r="M158" s="1">
        <f t="shared" ca="1" si="32"/>
        <v>12.246489341026518</v>
      </c>
    </row>
    <row r="159" spans="1:13" x14ac:dyDescent="0.4">
      <c r="A159" s="1">
        <f t="shared" ca="1" si="36"/>
        <v>6.0756776986981791</v>
      </c>
      <c r="B159" s="30">
        <f t="shared" ca="1" si="33"/>
        <v>12.246489341026518</v>
      </c>
      <c r="C159" s="30">
        <f t="shared" ca="1" si="26"/>
        <v>-0.996822434240767</v>
      </c>
      <c r="D159" s="30">
        <f t="shared" ca="1" si="37"/>
        <v>5.0788552644574123</v>
      </c>
      <c r="E159" s="30">
        <f t="shared" ca="1" si="34"/>
        <v>18.201011051696469</v>
      </c>
      <c r="F159" s="30">
        <f t="shared" ca="1" si="35"/>
        <v>0.68910908053337128</v>
      </c>
      <c r="G159" s="30">
        <v>157</v>
      </c>
      <c r="H159" s="30">
        <f t="shared" si="27"/>
        <v>0.20640753711741333</v>
      </c>
      <c r="I159" s="30">
        <f t="shared" ca="1" si="28"/>
        <v>5.9545217106699511</v>
      </c>
      <c r="J159" s="30">
        <f t="shared" ca="1" si="29"/>
        <v>28.848373435524145</v>
      </c>
      <c r="K159" s="30">
        <f t="shared" ca="1" si="30"/>
        <v>2.9601287777861621E-13</v>
      </c>
      <c r="L159" s="30">
        <f t="shared" ca="1" si="31"/>
        <v>6.0756776986981791</v>
      </c>
      <c r="M159" s="1">
        <f t="shared" ca="1" si="32"/>
        <v>12.246489341026518</v>
      </c>
    </row>
    <row r="160" spans="1:13" x14ac:dyDescent="0.4">
      <c r="A160" s="1">
        <f t="shared" ca="1" si="36"/>
        <v>6.0756776986981791</v>
      </c>
      <c r="B160" s="30">
        <f t="shared" ca="1" si="33"/>
        <v>12.246489341026518</v>
      </c>
      <c r="C160" s="30">
        <f t="shared" ca="1" si="26"/>
        <v>0.11255570955323613</v>
      </c>
      <c r="D160" s="30">
        <f t="shared" ca="1" si="37"/>
        <v>6.1882334082514152</v>
      </c>
      <c r="E160" s="30">
        <f t="shared" ca="1" si="34"/>
        <v>12.997986897660439</v>
      </c>
      <c r="F160" s="30">
        <f t="shared" ca="1" si="35"/>
        <v>0.16626735919431102</v>
      </c>
      <c r="G160" s="30">
        <v>158</v>
      </c>
      <c r="H160" s="30">
        <f t="shared" si="27"/>
        <v>0.20434346174623924</v>
      </c>
      <c r="I160" s="30">
        <f t="shared" ca="1" si="28"/>
        <v>0.7514975566339217</v>
      </c>
      <c r="J160" s="30">
        <f t="shared" ca="1" si="29"/>
        <v>3.6776197790324083</v>
      </c>
      <c r="K160" s="30">
        <f t="shared" ca="1" si="30"/>
        <v>2.5283082595292338E-2</v>
      </c>
      <c r="L160" s="30">
        <f t="shared" ca="1" si="31"/>
        <v>6.0756776986981791</v>
      </c>
      <c r="M160" s="1">
        <f t="shared" ca="1" si="32"/>
        <v>12.246489341026518</v>
      </c>
    </row>
    <row r="161" spans="1:13" x14ac:dyDescent="0.4">
      <c r="A161" s="1">
        <f t="shared" ca="1" si="36"/>
        <v>6.0756776986981791</v>
      </c>
      <c r="B161" s="30">
        <f t="shared" ca="1" si="33"/>
        <v>12.246489341026518</v>
      </c>
      <c r="C161" s="30">
        <f t="shared" ca="1" si="26"/>
        <v>0.26131547224979923</v>
      </c>
      <c r="D161" s="30">
        <f t="shared" ca="1" si="37"/>
        <v>6.3369931709479781</v>
      </c>
      <c r="E161" s="30">
        <f t="shared" ca="1" si="34"/>
        <v>14.810076981201973</v>
      </c>
      <c r="F161" s="30">
        <f t="shared" ca="1" si="35"/>
        <v>0.63744691905401685</v>
      </c>
      <c r="G161" s="30">
        <v>159</v>
      </c>
      <c r="H161" s="30">
        <f t="shared" si="27"/>
        <v>0.20230002712877682</v>
      </c>
      <c r="I161" s="30">
        <f t="shared" ca="1" si="28"/>
        <v>2.5635876401754558</v>
      </c>
      <c r="J161" s="30">
        <f t="shared" ca="1" si="29"/>
        <v>12.672206111685638</v>
      </c>
      <c r="K161" s="30">
        <f t="shared" ca="1" si="30"/>
        <v>3.1371176932566282E-6</v>
      </c>
      <c r="L161" s="30">
        <f t="shared" ca="1" si="31"/>
        <v>6.0756776986981791</v>
      </c>
      <c r="M161" s="1">
        <f t="shared" ca="1" si="32"/>
        <v>12.246489341026518</v>
      </c>
    </row>
    <row r="162" spans="1:13" x14ac:dyDescent="0.4">
      <c r="A162" s="1">
        <f t="shared" ca="1" si="36"/>
        <v>6.0756776986981791</v>
      </c>
      <c r="B162" s="30">
        <f t="shared" ca="1" si="33"/>
        <v>12.246489341026518</v>
      </c>
      <c r="C162" s="30">
        <f t="shared" ca="1" si="26"/>
        <v>0.16287570249786043</v>
      </c>
      <c r="D162" s="30">
        <f t="shared" ca="1" si="37"/>
        <v>6.2385534011960395</v>
      </c>
      <c r="E162" s="30">
        <f t="shared" ca="1" si="34"/>
        <v>13.499473146385981</v>
      </c>
      <c r="F162" s="30">
        <f t="shared" ca="1" si="35"/>
        <v>8.1882038741413865E-2</v>
      </c>
      <c r="G162" s="30">
        <v>160</v>
      </c>
      <c r="H162" s="30">
        <f t="shared" si="27"/>
        <v>0.20027702685748905</v>
      </c>
      <c r="I162" s="30">
        <f t="shared" ca="1" si="28"/>
        <v>1.2529838053594631</v>
      </c>
      <c r="J162" s="30">
        <f t="shared" ca="1" si="29"/>
        <v>6.2562532758739611</v>
      </c>
      <c r="K162" s="30">
        <f t="shared" ca="1" si="30"/>
        <v>1.9184201391179623E-3</v>
      </c>
      <c r="L162" s="30">
        <f t="shared" ca="1" si="31"/>
        <v>6.0756776986981791</v>
      </c>
      <c r="M162" s="1">
        <f t="shared" ca="1" si="32"/>
        <v>12.246489341026518</v>
      </c>
    </row>
    <row r="163" spans="1:13" x14ac:dyDescent="0.4">
      <c r="A163" s="1">
        <f t="shared" ca="1" si="36"/>
        <v>6.0756776986981791</v>
      </c>
      <c r="B163" s="30">
        <f t="shared" ca="1" si="33"/>
        <v>12.246489341026518</v>
      </c>
      <c r="C163" s="30">
        <f t="shared" ca="1" si="26"/>
        <v>0.77049383744992794</v>
      </c>
      <c r="D163" s="30">
        <f t="shared" ca="1" si="37"/>
        <v>6.8461715361481073</v>
      </c>
      <c r="E163" s="30">
        <f t="shared" ca="1" si="34"/>
        <v>30.508021339805964</v>
      </c>
      <c r="F163" s="30">
        <f t="shared" ca="1" si="35"/>
        <v>0.53693606543012518</v>
      </c>
      <c r="G163" s="30">
        <v>161</v>
      </c>
      <c r="H163" s="30">
        <f t="shared" si="27"/>
        <v>0.19827425658891415</v>
      </c>
      <c r="I163" s="30">
        <f t="shared" ca="1" si="28"/>
        <v>18.261531998779446</v>
      </c>
      <c r="J163" s="30">
        <f t="shared" ca="1" si="29"/>
        <v>92.102385417797507</v>
      </c>
      <c r="K163" s="30">
        <f t="shared" ca="1" si="30"/>
        <v>1.0010188206097968E-40</v>
      </c>
      <c r="L163" s="30">
        <f t="shared" ca="1" si="31"/>
        <v>6.0756776986981791</v>
      </c>
      <c r="M163" s="1">
        <f t="shared" ca="1" si="32"/>
        <v>12.246489341026518</v>
      </c>
    </row>
    <row r="164" spans="1:13" x14ac:dyDescent="0.4">
      <c r="A164" s="1">
        <f t="shared" ca="1" si="36"/>
        <v>6.0756776986981791</v>
      </c>
      <c r="B164" s="30">
        <f t="shared" ca="1" si="33"/>
        <v>12.246489341026518</v>
      </c>
      <c r="C164" s="30">
        <f t="shared" ca="1" si="26"/>
        <v>0.77872315586445251</v>
      </c>
      <c r="D164" s="30">
        <f t="shared" ca="1" si="37"/>
        <v>6.8544008545626314</v>
      </c>
      <c r="E164" s="30">
        <f t="shared" ca="1" si="34"/>
        <v>30.911422628579885</v>
      </c>
      <c r="F164" s="30">
        <f t="shared" ca="1" si="35"/>
        <v>6.032138596856329E-2</v>
      </c>
      <c r="G164" s="30">
        <v>162</v>
      </c>
      <c r="H164" s="30">
        <f t="shared" si="27"/>
        <v>0.19629151402302503</v>
      </c>
      <c r="I164" s="30">
        <f t="shared" ca="1" si="28"/>
        <v>18.664933287553367</v>
      </c>
      <c r="J164" s="30">
        <f t="shared" ca="1" si="29"/>
        <v>95.087825780201413</v>
      </c>
      <c r="K164" s="30">
        <f t="shared" ca="1" si="30"/>
        <v>5.0568720769679972E-42</v>
      </c>
      <c r="L164" s="30">
        <f t="shared" ca="1" si="31"/>
        <v>6.0756776986981791</v>
      </c>
      <c r="M164" s="1">
        <f t="shared" ca="1" si="32"/>
        <v>12.246489341026518</v>
      </c>
    </row>
    <row r="165" spans="1:13" x14ac:dyDescent="0.4">
      <c r="A165" s="1">
        <f t="shared" ca="1" si="36"/>
        <v>6.0756776986981791</v>
      </c>
      <c r="B165" s="30">
        <f t="shared" ca="1" si="33"/>
        <v>12.246489341026518</v>
      </c>
      <c r="C165" s="30">
        <f t="shared" ca="1" si="26"/>
        <v>0.25011672438251509</v>
      </c>
      <c r="D165" s="30">
        <f t="shared" ca="1" si="37"/>
        <v>6.3257944230806942</v>
      </c>
      <c r="E165" s="30">
        <f t="shared" ca="1" si="34"/>
        <v>14.637770858552813</v>
      </c>
      <c r="F165" s="30">
        <f t="shared" ca="1" si="35"/>
        <v>0.46213929348121097</v>
      </c>
      <c r="G165" s="30">
        <v>163</v>
      </c>
      <c r="H165" s="30">
        <f t="shared" si="27"/>
        <v>0.19432859888279477</v>
      </c>
      <c r="I165" s="30">
        <f t="shared" ca="1" si="28"/>
        <v>2.3912815175262949</v>
      </c>
      <c r="J165" s="30">
        <f t="shared" ca="1" si="29"/>
        <v>12.305350479928826</v>
      </c>
      <c r="K165" s="30">
        <f t="shared" ca="1" si="30"/>
        <v>4.5274554824885893E-6</v>
      </c>
      <c r="L165" s="30">
        <f t="shared" ca="1" si="31"/>
        <v>6.0756776986981791</v>
      </c>
      <c r="M165" s="1">
        <f t="shared" ca="1" si="32"/>
        <v>12.246489341026518</v>
      </c>
    </row>
    <row r="166" spans="1:13" x14ac:dyDescent="0.4">
      <c r="A166" s="1">
        <f t="shared" ca="1" si="36"/>
        <v>6.0756776986981791</v>
      </c>
      <c r="B166" s="30">
        <f t="shared" ca="1" si="33"/>
        <v>12.246489341026518</v>
      </c>
      <c r="C166" s="30">
        <f t="shared" ca="1" si="26"/>
        <v>-0.99760298347251108</v>
      </c>
      <c r="D166" s="30">
        <f t="shared" ca="1" si="37"/>
        <v>5.078074715225668</v>
      </c>
      <c r="E166" s="30">
        <f t="shared" ca="1" si="34"/>
        <v>18.209002350548985</v>
      </c>
      <c r="F166" s="30">
        <f t="shared" ca="1" si="35"/>
        <v>0.85009861280224785</v>
      </c>
      <c r="G166" s="30">
        <v>164</v>
      </c>
      <c r="H166" s="30">
        <f t="shared" si="27"/>
        <v>0.19238531289396682</v>
      </c>
      <c r="I166" s="30">
        <f t="shared" ca="1" si="28"/>
        <v>5.9625130095224677</v>
      </c>
      <c r="J166" s="30">
        <f t="shared" ca="1" si="29"/>
        <v>30.99255821471521</v>
      </c>
      <c r="K166" s="30">
        <f t="shared" ca="1" si="30"/>
        <v>3.4681908433367523E-14</v>
      </c>
      <c r="L166" s="30">
        <f t="shared" ca="1" si="31"/>
        <v>6.0756776986981791</v>
      </c>
      <c r="M166" s="1">
        <f t="shared" ca="1" si="32"/>
        <v>12.246489341026518</v>
      </c>
    </row>
    <row r="167" spans="1:13" x14ac:dyDescent="0.4">
      <c r="A167" s="1">
        <f t="shared" ca="1" si="36"/>
        <v>6.0756776986981791</v>
      </c>
      <c r="B167" s="30">
        <f t="shared" ca="1" si="33"/>
        <v>12.246489341026518</v>
      </c>
      <c r="C167" s="30">
        <f t="shared" ca="1" si="26"/>
        <v>-0.11946786370061768</v>
      </c>
      <c r="D167" s="30">
        <f t="shared" ca="1" si="37"/>
        <v>5.9562098349975612</v>
      </c>
      <c r="E167" s="30">
        <f t="shared" ca="1" si="34"/>
        <v>11.942432835268391</v>
      </c>
      <c r="F167" s="30">
        <f t="shared" ca="1" si="35"/>
        <v>0.52040720224837211</v>
      </c>
      <c r="G167" s="30">
        <v>165</v>
      </c>
      <c r="H167" s="30">
        <f t="shared" si="27"/>
        <v>0.19046145976502715</v>
      </c>
      <c r="I167" s="30">
        <f t="shared" ca="1" si="28"/>
        <v>-0.30405650575812615</v>
      </c>
      <c r="J167" s="30">
        <f t="shared" ca="1" si="29"/>
        <v>-1.596420116349216</v>
      </c>
      <c r="K167" s="30">
        <f t="shared" ca="1" si="30"/>
        <v>0</v>
      </c>
      <c r="L167" s="30">
        <f t="shared" ca="1" si="31"/>
        <v>5.9562098349975612</v>
      </c>
      <c r="M167" s="1">
        <f t="shared" ca="1" si="32"/>
        <v>11.942432835268391</v>
      </c>
    </row>
    <row r="168" spans="1:13" x14ac:dyDescent="0.4">
      <c r="A168" s="1">
        <f t="shared" ca="1" si="36"/>
        <v>5.9562098349975612</v>
      </c>
      <c r="B168" s="30">
        <f t="shared" ca="1" si="33"/>
        <v>11.942432835268391</v>
      </c>
      <c r="C168" s="30">
        <f t="shared" ca="1" si="26"/>
        <v>0.92513055960855062</v>
      </c>
      <c r="D168" s="30">
        <f t="shared" ca="1" si="37"/>
        <v>6.881340394606112</v>
      </c>
      <c r="E168" s="30">
        <f t="shared" ca="1" si="34"/>
        <v>32.270938532553828</v>
      </c>
      <c r="F168" s="30">
        <f t="shared" ca="1" si="35"/>
        <v>0.57139248951143562</v>
      </c>
      <c r="G168" s="30">
        <v>166</v>
      </c>
      <c r="H168" s="30">
        <f t="shared" si="27"/>
        <v>0.18855684516737689</v>
      </c>
      <c r="I168" s="30">
        <f t="shared" ca="1" si="28"/>
        <v>20.328505697285436</v>
      </c>
      <c r="J168" s="30">
        <f t="shared" ca="1" si="29"/>
        <v>107.81101942621262</v>
      </c>
      <c r="K168" s="30">
        <f t="shared" ca="1" si="30"/>
        <v>1.5075411476056986E-47</v>
      </c>
      <c r="L168" s="30">
        <f t="shared" ca="1" si="31"/>
        <v>5.9562098349975612</v>
      </c>
      <c r="M168" s="1">
        <f t="shared" ca="1" si="32"/>
        <v>11.942432835268391</v>
      </c>
    </row>
    <row r="169" spans="1:13" x14ac:dyDescent="0.4">
      <c r="A169" s="1">
        <f t="shared" ca="1" si="36"/>
        <v>5.9562098349975612</v>
      </c>
      <c r="B169" s="30">
        <f t="shared" ca="1" si="33"/>
        <v>11.942432835268391</v>
      </c>
      <c r="C169" s="30">
        <f t="shared" ca="1" si="26"/>
        <v>0.16953322213098865</v>
      </c>
      <c r="D169" s="30">
        <f t="shared" ca="1" si="37"/>
        <v>6.1257430571285498</v>
      </c>
      <c r="E169" s="30">
        <f t="shared" ca="1" si="34"/>
        <v>12.520622480747534</v>
      </c>
      <c r="F169" s="30">
        <f t="shared" ca="1" si="35"/>
        <v>0.20572059356450678</v>
      </c>
      <c r="G169" s="30">
        <v>167</v>
      </c>
      <c r="H169" s="30">
        <f t="shared" si="27"/>
        <v>0.1866712767157031</v>
      </c>
      <c r="I169" s="30">
        <f t="shared" ca="1" si="28"/>
        <v>0.5781896454791422</v>
      </c>
      <c r="J169" s="30">
        <f t="shared" ca="1" si="29"/>
        <v>3.0973680346104575</v>
      </c>
      <c r="K169" s="30">
        <f t="shared" ca="1" si="30"/>
        <v>4.5167926505424935E-2</v>
      </c>
      <c r="L169" s="30">
        <f t="shared" ca="1" si="31"/>
        <v>5.9562098349975612</v>
      </c>
      <c r="M169" s="1">
        <f t="shared" ca="1" si="32"/>
        <v>11.942432835268391</v>
      </c>
    </row>
    <row r="170" spans="1:13" x14ac:dyDescent="0.4">
      <c r="A170" s="1">
        <f t="shared" ca="1" si="36"/>
        <v>5.9562098349975612</v>
      </c>
      <c r="B170" s="30">
        <f t="shared" ca="1" si="33"/>
        <v>11.942432835268391</v>
      </c>
      <c r="C170" s="30">
        <f t="shared" ca="1" si="26"/>
        <v>-2.0757541674732982E-2</v>
      </c>
      <c r="D170" s="30">
        <f t="shared" ca="1" si="37"/>
        <v>5.935452293322828</v>
      </c>
      <c r="E170" s="30">
        <f t="shared" ca="1" si="34"/>
        <v>11.935432992739834</v>
      </c>
      <c r="F170" s="30">
        <f t="shared" ca="1" si="35"/>
        <v>0.43304127252454816</v>
      </c>
      <c r="G170" s="30">
        <v>168</v>
      </c>
      <c r="H170" s="30">
        <f t="shared" si="27"/>
        <v>0.18480456394854605</v>
      </c>
      <c r="I170" s="30">
        <f t="shared" ca="1" si="28"/>
        <v>-6.9998425285575649E-3</v>
      </c>
      <c r="J170" s="30">
        <f t="shared" ca="1" si="29"/>
        <v>-3.7877000324009778E-2</v>
      </c>
      <c r="K170" s="30">
        <f t="shared" ca="1" si="30"/>
        <v>0</v>
      </c>
      <c r="L170" s="30">
        <f t="shared" ca="1" si="31"/>
        <v>5.935452293322828</v>
      </c>
      <c r="M170" s="1">
        <f t="shared" ca="1" si="32"/>
        <v>11.935432992739834</v>
      </c>
    </row>
    <row r="171" spans="1:13" x14ac:dyDescent="0.4">
      <c r="A171" s="1">
        <f t="shared" ca="1" si="36"/>
        <v>5.935452293322828</v>
      </c>
      <c r="B171" s="30">
        <f t="shared" ca="1" si="33"/>
        <v>11.935432992739834</v>
      </c>
      <c r="C171" s="30">
        <f t="shared" ca="1" si="26"/>
        <v>0.77202879550217474</v>
      </c>
      <c r="D171" s="30">
        <f t="shared" ca="1" si="37"/>
        <v>6.7074810888250029</v>
      </c>
      <c r="E171" s="30">
        <f t="shared" ca="1" si="34"/>
        <v>24.506885000284001</v>
      </c>
      <c r="F171" s="30">
        <f t="shared" ca="1" si="35"/>
        <v>0.45980297089967692</v>
      </c>
      <c r="G171" s="30">
        <v>169</v>
      </c>
      <c r="H171" s="30">
        <f t="shared" si="27"/>
        <v>0.1829565183090606</v>
      </c>
      <c r="I171" s="30">
        <f t="shared" ca="1" si="28"/>
        <v>12.571452007544167</v>
      </c>
      <c r="J171" s="30">
        <f t="shared" ca="1" si="29"/>
        <v>68.712785549994734</v>
      </c>
      <c r="K171" s="30">
        <f t="shared" ca="1" si="30"/>
        <v>1.4401787528774983E-30</v>
      </c>
      <c r="L171" s="30">
        <f t="shared" ca="1" si="31"/>
        <v>5.935452293322828</v>
      </c>
      <c r="M171" s="1">
        <f t="shared" ca="1" si="32"/>
        <v>11.935432992739834</v>
      </c>
    </row>
    <row r="172" spans="1:13" x14ac:dyDescent="0.4">
      <c r="A172" s="1">
        <f t="shared" ca="1" si="36"/>
        <v>5.935452293322828</v>
      </c>
      <c r="B172" s="30">
        <f t="shared" ca="1" si="33"/>
        <v>11.935432992739834</v>
      </c>
      <c r="C172" s="30">
        <f t="shared" ca="1" si="26"/>
        <v>0.75249570782781117</v>
      </c>
      <c r="D172" s="30">
        <f t="shared" ca="1" si="37"/>
        <v>6.6879480011506391</v>
      </c>
      <c r="E172" s="30">
        <f t="shared" ca="1" si="34"/>
        <v>23.776936753395148</v>
      </c>
      <c r="F172" s="30">
        <f t="shared" ca="1" si="35"/>
        <v>5.6530445892850723E-2</v>
      </c>
      <c r="G172" s="30">
        <v>170</v>
      </c>
      <c r="H172" s="30">
        <f t="shared" si="27"/>
        <v>0.18112695312596999</v>
      </c>
      <c r="I172" s="30">
        <f t="shared" ca="1" si="28"/>
        <v>11.841503760655314</v>
      </c>
      <c r="J172" s="30">
        <f t="shared" ca="1" si="29"/>
        <v>65.376817509980398</v>
      </c>
      <c r="K172" s="30">
        <f t="shared" ca="1" si="30"/>
        <v>4.0477055383908681E-29</v>
      </c>
      <c r="L172" s="30">
        <f t="shared" ca="1" si="31"/>
        <v>5.935452293322828</v>
      </c>
      <c r="M172" s="1">
        <f t="shared" ca="1" si="32"/>
        <v>11.935432992739834</v>
      </c>
    </row>
    <row r="173" spans="1:13" x14ac:dyDescent="0.4">
      <c r="A173" s="1">
        <f t="shared" ca="1" si="36"/>
        <v>5.935452293322828</v>
      </c>
      <c r="B173" s="30">
        <f t="shared" ca="1" si="33"/>
        <v>11.935432992739834</v>
      </c>
      <c r="C173" s="30">
        <f t="shared" ca="1" si="26"/>
        <v>0.19597800398332565</v>
      </c>
      <c r="D173" s="30">
        <f t="shared" ca="1" si="37"/>
        <v>6.1314302973061539</v>
      </c>
      <c r="E173" s="30">
        <f t="shared" ca="1" si="34"/>
        <v>12.557704286565922</v>
      </c>
      <c r="F173" s="30">
        <f t="shared" ca="1" si="35"/>
        <v>7.2838675049705648E-3</v>
      </c>
      <c r="G173" s="30">
        <v>171</v>
      </c>
      <c r="H173" s="30">
        <f t="shared" si="27"/>
        <v>0.17931568359471028</v>
      </c>
      <c r="I173" s="30">
        <f t="shared" ca="1" si="28"/>
        <v>0.62227129382608837</v>
      </c>
      <c r="J173" s="30">
        <f t="shared" ca="1" si="29"/>
        <v>3.4702558156181551</v>
      </c>
      <c r="K173" s="30">
        <f t="shared" ca="1" si="30"/>
        <v>3.1109071456714953E-2</v>
      </c>
      <c r="L173" s="30">
        <f t="shared" ca="1" si="31"/>
        <v>6.1314302973061539</v>
      </c>
      <c r="M173" s="1">
        <f t="shared" ca="1" si="32"/>
        <v>12.557704286565922</v>
      </c>
    </row>
    <row r="174" spans="1:13" x14ac:dyDescent="0.4">
      <c r="A174" s="1">
        <f t="shared" ca="1" si="36"/>
        <v>6.1314302973061539</v>
      </c>
      <c r="B174" s="30">
        <f t="shared" ca="1" si="33"/>
        <v>12.557704286565922</v>
      </c>
      <c r="C174" s="30">
        <f t="shared" ca="1" si="26"/>
        <v>1.8046468557624262E-3</v>
      </c>
      <c r="D174" s="30">
        <f t="shared" ca="1" si="37"/>
        <v>6.1332349441619165</v>
      </c>
      <c r="E174" s="30">
        <f t="shared" ca="1" si="34"/>
        <v>12.569730825950046</v>
      </c>
      <c r="F174" s="30">
        <f t="shared" ca="1" si="35"/>
        <v>0.81164319103237614</v>
      </c>
      <c r="G174" s="30">
        <v>172</v>
      </c>
      <c r="H174" s="30">
        <f t="shared" si="27"/>
        <v>0.1775225267587632</v>
      </c>
      <c r="I174" s="30">
        <f t="shared" ca="1" si="28"/>
        <v>1.202653938412368E-2</v>
      </c>
      <c r="J174" s="30">
        <f t="shared" ca="1" si="29"/>
        <v>6.7746553655506733E-2</v>
      </c>
      <c r="K174" s="30">
        <f t="shared" ca="1" si="30"/>
        <v>0.93449728848771529</v>
      </c>
      <c r="L174" s="30">
        <f t="shared" ca="1" si="31"/>
        <v>6.1332349441619165</v>
      </c>
      <c r="M174" s="1">
        <f t="shared" ca="1" si="32"/>
        <v>12.569730825950046</v>
      </c>
    </row>
    <row r="175" spans="1:13" x14ac:dyDescent="0.4">
      <c r="A175" s="1">
        <f t="shared" ca="1" si="36"/>
        <v>6.1332349441619165</v>
      </c>
      <c r="B175" s="30">
        <f t="shared" ca="1" si="33"/>
        <v>12.569730825950046</v>
      </c>
      <c r="C175" s="30">
        <f t="shared" ca="1" si="26"/>
        <v>0.48005443041047768</v>
      </c>
      <c r="D175" s="30">
        <f t="shared" ca="1" si="37"/>
        <v>6.6132893745723944</v>
      </c>
      <c r="E175" s="30">
        <f t="shared" ca="1" si="34"/>
        <v>21.231411736327118</v>
      </c>
      <c r="F175" s="30">
        <f t="shared" ca="1" si="35"/>
        <v>0.5783028988902732</v>
      </c>
      <c r="G175" s="30">
        <v>173</v>
      </c>
      <c r="H175" s="30">
        <f t="shared" si="27"/>
        <v>0.17574730149117554</v>
      </c>
      <c r="I175" s="30">
        <f t="shared" ca="1" si="28"/>
        <v>8.661680910377072</v>
      </c>
      <c r="J175" s="30">
        <f t="shared" ca="1" si="29"/>
        <v>49.284858640131006</v>
      </c>
      <c r="K175" s="30">
        <f t="shared" ca="1" si="30"/>
        <v>3.9432821350653939E-22</v>
      </c>
      <c r="L175" s="30">
        <f t="shared" ca="1" si="31"/>
        <v>6.1332349441619165</v>
      </c>
      <c r="M175" s="1">
        <f t="shared" ca="1" si="32"/>
        <v>12.569730825950046</v>
      </c>
    </row>
    <row r="176" spans="1:13" x14ac:dyDescent="0.4">
      <c r="A176" s="1">
        <f t="shared" ca="1" si="36"/>
        <v>6.1332349441619165</v>
      </c>
      <c r="B176" s="30">
        <f t="shared" ca="1" si="33"/>
        <v>12.569730825950046</v>
      </c>
      <c r="C176" s="30">
        <f t="shared" ca="1" si="26"/>
        <v>0.7303704889363134</v>
      </c>
      <c r="D176" s="30">
        <f t="shared" ca="1" si="37"/>
        <v>6.8636054330982299</v>
      </c>
      <c r="E176" s="30">
        <f t="shared" ca="1" si="34"/>
        <v>31.369193964274018</v>
      </c>
      <c r="F176" s="30">
        <f t="shared" ca="1" si="35"/>
        <v>0.13512538901222193</v>
      </c>
      <c r="G176" s="30">
        <v>174</v>
      </c>
      <c r="H176" s="30">
        <f t="shared" si="27"/>
        <v>0.17398982847626379</v>
      </c>
      <c r="I176" s="30">
        <f t="shared" ca="1" si="28"/>
        <v>18.799463138323972</v>
      </c>
      <c r="J176" s="30">
        <f t="shared" ca="1" si="29"/>
        <v>108.04920783566753</v>
      </c>
      <c r="K176" s="30">
        <f t="shared" ca="1" si="30"/>
        <v>1.1880241334103735E-47</v>
      </c>
      <c r="L176" s="30">
        <f t="shared" ca="1" si="31"/>
        <v>6.1332349441619165</v>
      </c>
      <c r="M176" s="1">
        <f t="shared" ca="1" si="32"/>
        <v>12.569730825950046</v>
      </c>
    </row>
    <row r="177" spans="1:13" x14ac:dyDescent="0.4">
      <c r="A177" s="1">
        <f t="shared" ca="1" si="36"/>
        <v>6.1332349441619165</v>
      </c>
      <c r="B177" s="30">
        <f t="shared" ca="1" si="33"/>
        <v>12.569730825950046</v>
      </c>
      <c r="C177" s="30">
        <f t="shared" ca="1" si="26"/>
        <v>9.769506254560123E-2</v>
      </c>
      <c r="D177" s="30">
        <f t="shared" ca="1" si="37"/>
        <v>6.230930006707518</v>
      </c>
      <c r="E177" s="30">
        <f t="shared" ca="1" si="34"/>
        <v>13.416484165480597</v>
      </c>
      <c r="F177" s="30">
        <f t="shared" ca="1" si="35"/>
        <v>0.9887952466410328</v>
      </c>
      <c r="G177" s="30">
        <v>175</v>
      </c>
      <c r="H177" s="30">
        <f t="shared" si="27"/>
        <v>0.17224993019150114</v>
      </c>
      <c r="I177" s="30">
        <f t="shared" ca="1" si="28"/>
        <v>0.84675333953055087</v>
      </c>
      <c r="J177" s="30">
        <f t="shared" ca="1" si="29"/>
        <v>4.9158414089872871</v>
      </c>
      <c r="K177" s="30">
        <f t="shared" ca="1" si="30"/>
        <v>7.3295481494533151E-3</v>
      </c>
      <c r="L177" s="30">
        <f t="shared" ca="1" si="31"/>
        <v>6.1332349441619165</v>
      </c>
      <c r="M177" s="1">
        <f t="shared" ca="1" si="32"/>
        <v>12.569730825950046</v>
      </c>
    </row>
    <row r="178" spans="1:13" x14ac:dyDescent="0.4">
      <c r="A178" s="1">
        <f t="shared" ca="1" si="36"/>
        <v>6.1332349441619165</v>
      </c>
      <c r="B178" s="30">
        <f t="shared" ca="1" si="33"/>
        <v>12.569730825950046</v>
      </c>
      <c r="C178" s="30">
        <f t="shared" ca="1" si="26"/>
        <v>0.61697996827792512</v>
      </c>
      <c r="D178" s="30">
        <f t="shared" ca="1" si="37"/>
        <v>6.7502149124398416</v>
      </c>
      <c r="E178" s="30">
        <f t="shared" ca="1" si="34"/>
        <v>26.200259682477963</v>
      </c>
      <c r="F178" s="30">
        <f t="shared" ca="1" si="35"/>
        <v>0.50289577692483822</v>
      </c>
      <c r="G178" s="30">
        <v>176</v>
      </c>
      <c r="H178" s="30">
        <f t="shared" si="27"/>
        <v>0.17052743088958613</v>
      </c>
      <c r="I178" s="30">
        <f t="shared" ca="1" si="28"/>
        <v>13.630528856527917</v>
      </c>
      <c r="J178" s="30">
        <f t="shared" ca="1" si="29"/>
        <v>79.931590978776157</v>
      </c>
      <c r="K178" s="30">
        <f t="shared" ca="1" si="30"/>
        <v>1.9326406419083367E-35</v>
      </c>
      <c r="L178" s="30">
        <f t="shared" ca="1" si="31"/>
        <v>6.1332349441619165</v>
      </c>
      <c r="M178" s="1">
        <f t="shared" ca="1" si="32"/>
        <v>12.569730825950046</v>
      </c>
    </row>
    <row r="179" spans="1:13" x14ac:dyDescent="0.4">
      <c r="A179" s="1">
        <f t="shared" ca="1" si="36"/>
        <v>6.1332349441619165</v>
      </c>
      <c r="B179" s="30">
        <f t="shared" ca="1" si="33"/>
        <v>12.569730825950046</v>
      </c>
      <c r="C179" s="30">
        <f t="shared" ca="1" si="26"/>
        <v>-0.17287179346782433</v>
      </c>
      <c r="D179" s="30">
        <f t="shared" ca="1" si="37"/>
        <v>5.9603631506940919</v>
      </c>
      <c r="E179" s="30">
        <f t="shared" ca="1" si="34"/>
        <v>11.945367865613434</v>
      </c>
      <c r="F179" s="30">
        <f t="shared" ca="1" si="35"/>
        <v>0.96557205270424806</v>
      </c>
      <c r="G179" s="30">
        <v>177</v>
      </c>
      <c r="H179" s="30">
        <f t="shared" si="27"/>
        <v>0.16882215658069027</v>
      </c>
      <c r="I179" s="30">
        <f t="shared" ca="1" si="28"/>
        <v>-0.62436296033661165</v>
      </c>
      <c r="J179" s="30">
        <f t="shared" ca="1" si="29"/>
        <v>-3.6983472607056229</v>
      </c>
      <c r="K179" s="30">
        <f t="shared" ca="1" si="30"/>
        <v>0</v>
      </c>
      <c r="L179" s="30">
        <f t="shared" ca="1" si="31"/>
        <v>5.9603631506940919</v>
      </c>
      <c r="M179" s="1">
        <f t="shared" ca="1" si="32"/>
        <v>11.945367865613434</v>
      </c>
    </row>
    <row r="180" spans="1:13" x14ac:dyDescent="0.4">
      <c r="A180" s="1">
        <f t="shared" ca="1" si="36"/>
        <v>5.9603631506940919</v>
      </c>
      <c r="B180" s="30">
        <f t="shared" ca="1" si="33"/>
        <v>11.945367865613434</v>
      </c>
      <c r="C180" s="30">
        <f t="shared" ca="1" si="26"/>
        <v>-9.1720869131297622E-3</v>
      </c>
      <c r="D180" s="30">
        <f t="shared" ca="1" si="37"/>
        <v>5.9511910637809624</v>
      </c>
      <c r="E180" s="30">
        <f t="shared" ca="1" si="34"/>
        <v>11.939574574035532</v>
      </c>
      <c r="F180" s="30">
        <f t="shared" ca="1" si="35"/>
        <v>0.4261389772212093</v>
      </c>
      <c r="G180" s="30">
        <v>178</v>
      </c>
      <c r="H180" s="30">
        <f t="shared" si="27"/>
        <v>0.16713393501488336</v>
      </c>
      <c r="I180" s="30">
        <f t="shared" ca="1" si="28"/>
        <v>-5.7932915779019822E-3</v>
      </c>
      <c r="J180" s="30">
        <f t="shared" ca="1" si="29"/>
        <v>-3.4662569138853142E-2</v>
      </c>
      <c r="K180" s="30">
        <f t="shared" ca="1" si="30"/>
        <v>0</v>
      </c>
      <c r="L180" s="30">
        <f t="shared" ca="1" si="31"/>
        <v>5.9511910637809624</v>
      </c>
      <c r="M180" s="1">
        <f t="shared" ca="1" si="32"/>
        <v>11.939574574035532</v>
      </c>
    </row>
    <row r="181" spans="1:13" x14ac:dyDescent="0.4">
      <c r="A181" s="1">
        <f t="shared" ca="1" si="36"/>
        <v>5.9511910637809624</v>
      </c>
      <c r="B181" s="30">
        <f t="shared" ca="1" si="33"/>
        <v>11.939574574035532</v>
      </c>
      <c r="C181" s="30">
        <f t="shared" ca="1" si="26"/>
        <v>-0.2806600866687754</v>
      </c>
      <c r="D181" s="30">
        <f t="shared" ca="1" si="37"/>
        <v>5.670530977112187</v>
      </c>
      <c r="E181" s="30">
        <f t="shared" ca="1" si="34"/>
        <v>12.803531944068027</v>
      </c>
      <c r="F181" s="30">
        <f t="shared" ca="1" si="35"/>
        <v>0.57353511860117701</v>
      </c>
      <c r="G181" s="30">
        <v>179</v>
      </c>
      <c r="H181" s="30">
        <f t="shared" si="27"/>
        <v>0.16546259566473454</v>
      </c>
      <c r="I181" s="30">
        <f t="shared" ca="1" si="28"/>
        <v>0.86395737003249451</v>
      </c>
      <c r="J181" s="30">
        <f t="shared" ca="1" si="29"/>
        <v>5.2214663172761524</v>
      </c>
      <c r="K181" s="30">
        <f t="shared" ca="1" si="30"/>
        <v>5.3994060765970523E-3</v>
      </c>
      <c r="L181" s="30">
        <f t="shared" ca="1" si="31"/>
        <v>5.9511910637809624</v>
      </c>
      <c r="M181" s="1">
        <f t="shared" ca="1" si="32"/>
        <v>11.939574574035532</v>
      </c>
    </row>
    <row r="182" spans="1:13" x14ac:dyDescent="0.4">
      <c r="A182" s="1">
        <f t="shared" ca="1" si="36"/>
        <v>5.9511910637809624</v>
      </c>
      <c r="B182" s="30">
        <f t="shared" ca="1" si="33"/>
        <v>11.939574574035532</v>
      </c>
      <c r="C182" s="30">
        <f t="shared" ca="1" si="26"/>
        <v>0.84122905078949195</v>
      </c>
      <c r="D182" s="30">
        <f t="shared" ca="1" si="37"/>
        <v>6.7924201145704544</v>
      </c>
      <c r="E182" s="30">
        <f t="shared" ca="1" si="34"/>
        <v>28.006682672339139</v>
      </c>
      <c r="F182" s="30">
        <f t="shared" ca="1" si="35"/>
        <v>0.38472184454919445</v>
      </c>
      <c r="G182" s="30">
        <v>180</v>
      </c>
      <c r="H182" s="30">
        <f t="shared" si="27"/>
        <v>0.1638079697080872</v>
      </c>
      <c r="I182" s="30">
        <f t="shared" ca="1" si="28"/>
        <v>16.067108098303606</v>
      </c>
      <c r="J182" s="30">
        <f t="shared" ca="1" si="29"/>
        <v>98.085020691825193</v>
      </c>
      <c r="K182" s="30">
        <f t="shared" ca="1" si="30"/>
        <v>2.5247405549133806E-43</v>
      </c>
      <c r="L182" s="30">
        <f t="shared" ca="1" si="31"/>
        <v>5.9511910637809624</v>
      </c>
      <c r="M182" s="1">
        <f t="shared" ca="1" si="32"/>
        <v>11.939574574035532</v>
      </c>
    </row>
    <row r="183" spans="1:13" x14ac:dyDescent="0.4">
      <c r="A183" s="1">
        <f t="shared" ca="1" si="36"/>
        <v>5.9511910637809624</v>
      </c>
      <c r="B183" s="30">
        <f t="shared" ca="1" si="33"/>
        <v>11.939574574035532</v>
      </c>
      <c r="C183" s="30">
        <f t="shared" ca="1" si="26"/>
        <v>-0.39326679292798117</v>
      </c>
      <c r="D183" s="30">
        <f t="shared" ca="1" si="37"/>
        <v>5.5579242708529808</v>
      </c>
      <c r="E183" s="30">
        <f t="shared" ca="1" si="34"/>
        <v>13.589774764038111</v>
      </c>
      <c r="F183" s="30">
        <f t="shared" ca="1" si="35"/>
        <v>0.25796122372148844</v>
      </c>
      <c r="G183" s="30">
        <v>181</v>
      </c>
      <c r="H183" s="30">
        <f t="shared" si="27"/>
        <v>0.16216989001100632</v>
      </c>
      <c r="I183" s="30">
        <f t="shared" ca="1" si="28"/>
        <v>1.6502001900025789</v>
      </c>
      <c r="J183" s="30">
        <f t="shared" ca="1" si="29"/>
        <v>10.175749578979065</v>
      </c>
      <c r="K183" s="30">
        <f t="shared" ca="1" si="30"/>
        <v>3.8082733063956189E-5</v>
      </c>
      <c r="L183" s="30">
        <f t="shared" ca="1" si="31"/>
        <v>5.9511910637809624</v>
      </c>
      <c r="M183" s="1">
        <f t="shared" ca="1" si="32"/>
        <v>11.939574574035532</v>
      </c>
    </row>
    <row r="184" spans="1:13" x14ac:dyDescent="0.4">
      <c r="A184" s="1">
        <f t="shared" ca="1" si="36"/>
        <v>5.9511910637809624</v>
      </c>
      <c r="B184" s="30">
        <f t="shared" ca="1" si="33"/>
        <v>11.939574574035532</v>
      </c>
      <c r="C184" s="30">
        <f t="shared" ca="1" si="26"/>
        <v>0.24657967940736714</v>
      </c>
      <c r="D184" s="30">
        <f t="shared" ca="1" si="37"/>
        <v>6.1977707431883298</v>
      </c>
      <c r="E184" s="30">
        <f t="shared" ca="1" si="34"/>
        <v>13.084767282647363</v>
      </c>
      <c r="F184" s="30">
        <f t="shared" ca="1" si="35"/>
        <v>0.38383490544945775</v>
      </c>
      <c r="G184" s="30">
        <v>182</v>
      </c>
      <c r="H184" s="30">
        <f t="shared" si="27"/>
        <v>0.16054819111089624</v>
      </c>
      <c r="I184" s="30">
        <f t="shared" ca="1" si="28"/>
        <v>1.1451927086118303</v>
      </c>
      <c r="J184" s="30">
        <f t="shared" ca="1" si="29"/>
        <v>7.1330153313331675</v>
      </c>
      <c r="K184" s="30">
        <f t="shared" ca="1" si="30"/>
        <v>7.9830858973773051E-4</v>
      </c>
      <c r="L184" s="30">
        <f t="shared" ca="1" si="31"/>
        <v>5.9511910637809624</v>
      </c>
      <c r="M184" s="1">
        <f t="shared" ca="1" si="32"/>
        <v>11.939574574035532</v>
      </c>
    </row>
    <row r="185" spans="1:13" x14ac:dyDescent="0.4">
      <c r="A185" s="1">
        <f t="shared" ca="1" si="36"/>
        <v>5.9511910637809624</v>
      </c>
      <c r="B185" s="30">
        <f t="shared" ca="1" si="33"/>
        <v>11.939574574035532</v>
      </c>
      <c r="C185" s="30">
        <f t="shared" ca="1" si="26"/>
        <v>-0.17239177755144452</v>
      </c>
      <c r="D185" s="30">
        <f t="shared" ca="1" si="37"/>
        <v>5.7787992862295177</v>
      </c>
      <c r="E185" s="30">
        <f t="shared" ca="1" si="34"/>
        <v>12.256282410608037</v>
      </c>
      <c r="F185" s="30">
        <f t="shared" ca="1" si="35"/>
        <v>6.305347534162542E-2</v>
      </c>
      <c r="G185" s="30">
        <v>183</v>
      </c>
      <c r="H185" s="30">
        <f t="shared" si="27"/>
        <v>0.15894270919978729</v>
      </c>
      <c r="I185" s="30">
        <f t="shared" ca="1" si="28"/>
        <v>0.31670783657250468</v>
      </c>
      <c r="J185" s="30">
        <f t="shared" ca="1" si="29"/>
        <v>1.9925911554358262</v>
      </c>
      <c r="K185" s="30">
        <f t="shared" ca="1" si="30"/>
        <v>0.13634168484718565</v>
      </c>
      <c r="L185" s="30">
        <f t="shared" ca="1" si="31"/>
        <v>5.7787992862295177</v>
      </c>
      <c r="M185" s="1">
        <f t="shared" ca="1" si="32"/>
        <v>12.256282410608037</v>
      </c>
    </row>
    <row r="186" spans="1:13" x14ac:dyDescent="0.4">
      <c r="A186" s="1">
        <f t="shared" ca="1" si="36"/>
        <v>5.7787992862295177</v>
      </c>
      <c r="B186" s="30">
        <f t="shared" ca="1" si="33"/>
        <v>12.256282410608037</v>
      </c>
      <c r="C186" s="30">
        <f t="shared" ca="1" si="26"/>
        <v>-2.5123030217993891E-2</v>
      </c>
      <c r="D186" s="30">
        <f t="shared" ca="1" si="37"/>
        <v>5.7536762560115235</v>
      </c>
      <c r="E186" s="30">
        <f t="shared" ca="1" si="34"/>
        <v>12.362273896573242</v>
      </c>
      <c r="F186" s="30">
        <f t="shared" ca="1" si="35"/>
        <v>0.69790838086077522</v>
      </c>
      <c r="G186" s="30">
        <v>184</v>
      </c>
      <c r="H186" s="30">
        <f t="shared" si="27"/>
        <v>0.1573532821077894</v>
      </c>
      <c r="I186" s="30">
        <f t="shared" ca="1" si="28"/>
        <v>0.10599148596520536</v>
      </c>
      <c r="J186" s="30">
        <f t="shared" ca="1" si="29"/>
        <v>0.67358929248517085</v>
      </c>
      <c r="K186" s="30">
        <f t="shared" ca="1" si="30"/>
        <v>0.50987519826964545</v>
      </c>
      <c r="L186" s="30">
        <f t="shared" ca="1" si="31"/>
        <v>5.7787992862295177</v>
      </c>
      <c r="M186" s="1">
        <f t="shared" ca="1" si="32"/>
        <v>12.256282410608037</v>
      </c>
    </row>
    <row r="187" spans="1:13" x14ac:dyDescent="0.4">
      <c r="A187" s="1">
        <f t="shared" ca="1" si="36"/>
        <v>5.7787992862295177</v>
      </c>
      <c r="B187" s="30">
        <f t="shared" ca="1" si="33"/>
        <v>12.256282410608037</v>
      </c>
      <c r="C187" s="30">
        <f t="shared" ca="1" si="26"/>
        <v>0.71121596637638484</v>
      </c>
      <c r="D187" s="30">
        <f t="shared" ca="1" si="37"/>
        <v>6.4900152526059021</v>
      </c>
      <c r="E187" s="30">
        <f t="shared" ca="1" si="34"/>
        <v>17.820804752296908</v>
      </c>
      <c r="F187" s="30">
        <f t="shared" ca="1" si="35"/>
        <v>0.41296164399656443</v>
      </c>
      <c r="G187" s="30">
        <v>185</v>
      </c>
      <c r="H187" s="30">
        <f t="shared" si="27"/>
        <v>0.15577974928671148</v>
      </c>
      <c r="I187" s="30">
        <f t="shared" ca="1" si="28"/>
        <v>5.5645223416888712</v>
      </c>
      <c r="J187" s="30">
        <f t="shared" ca="1" si="29"/>
        <v>35.720447408394584</v>
      </c>
      <c r="K187" s="30">
        <f t="shared" ca="1" si="30"/>
        <v>3.067657004518251E-16</v>
      </c>
      <c r="L187" s="30">
        <f t="shared" ca="1" si="31"/>
        <v>5.7787992862295177</v>
      </c>
      <c r="M187" s="1">
        <f t="shared" ca="1" si="32"/>
        <v>12.256282410608037</v>
      </c>
    </row>
    <row r="188" spans="1:13" x14ac:dyDescent="0.4">
      <c r="A188" s="1">
        <f t="shared" ca="1" si="36"/>
        <v>5.7787992862295177</v>
      </c>
      <c r="B188" s="30">
        <f t="shared" ca="1" si="33"/>
        <v>12.256282410608037</v>
      </c>
      <c r="C188" s="30">
        <f t="shared" ca="1" si="26"/>
        <v>-0.16988466672939584</v>
      </c>
      <c r="D188" s="30">
        <f t="shared" ca="1" si="37"/>
        <v>5.6089146195001218</v>
      </c>
      <c r="E188" s="30">
        <f t="shared" ca="1" si="34"/>
        <v>13.209861548519029</v>
      </c>
      <c r="F188" s="30">
        <f t="shared" ca="1" si="35"/>
        <v>0.91612749950280359</v>
      </c>
      <c r="G188" s="30">
        <v>186</v>
      </c>
      <c r="H188" s="30">
        <f t="shared" si="27"/>
        <v>0.15422195179384438</v>
      </c>
      <c r="I188" s="30">
        <f t="shared" ca="1" si="28"/>
        <v>0.95357913791099236</v>
      </c>
      <c r="J188" s="30">
        <f t="shared" ca="1" si="29"/>
        <v>6.1831608718432367</v>
      </c>
      <c r="K188" s="30">
        <f t="shared" ca="1" si="30"/>
        <v>2.0638938295791738E-3</v>
      </c>
      <c r="L188" s="30">
        <f t="shared" ca="1" si="31"/>
        <v>5.7787992862295177</v>
      </c>
      <c r="M188" s="1">
        <f t="shared" ca="1" si="32"/>
        <v>12.256282410608037</v>
      </c>
    </row>
    <row r="189" spans="1:13" x14ac:dyDescent="0.4">
      <c r="A189" s="1">
        <f t="shared" ca="1" si="36"/>
        <v>5.7787992862295177</v>
      </c>
      <c r="B189" s="30">
        <f t="shared" ca="1" si="33"/>
        <v>12.256282410608037</v>
      </c>
      <c r="C189" s="30">
        <f t="shared" ca="1" si="26"/>
        <v>0.53654603120825906</v>
      </c>
      <c r="D189" s="30">
        <f t="shared" ca="1" si="37"/>
        <v>6.3153453174377763</v>
      </c>
      <c r="E189" s="30">
        <f t="shared" ca="1" si="34"/>
        <v>14.482532427779688</v>
      </c>
      <c r="F189" s="30">
        <f t="shared" ca="1" si="35"/>
        <v>0.24540108510009662</v>
      </c>
      <c r="G189" s="30">
        <v>187</v>
      </c>
      <c r="H189" s="30">
        <f t="shared" si="27"/>
        <v>0.15267973227590595</v>
      </c>
      <c r="I189" s="30">
        <f t="shared" ca="1" si="28"/>
        <v>2.2262500171716511</v>
      </c>
      <c r="J189" s="30">
        <f t="shared" ca="1" si="29"/>
        <v>14.581175798426329</v>
      </c>
      <c r="K189" s="30">
        <f t="shared" ca="1" si="30"/>
        <v>4.6502447495780606E-7</v>
      </c>
      <c r="L189" s="30">
        <f t="shared" ca="1" si="31"/>
        <v>5.7787992862295177</v>
      </c>
      <c r="M189" s="1">
        <f t="shared" ca="1" si="32"/>
        <v>12.256282410608037</v>
      </c>
    </row>
    <row r="190" spans="1:13" x14ac:dyDescent="0.4">
      <c r="A190" s="1">
        <f t="shared" ca="1" si="36"/>
        <v>5.7787992862295177</v>
      </c>
      <c r="B190" s="30">
        <f t="shared" ca="1" si="33"/>
        <v>12.256282410608037</v>
      </c>
      <c r="C190" s="30">
        <f t="shared" ca="1" si="26"/>
        <v>0.92287269261955052</v>
      </c>
      <c r="D190" s="30">
        <f t="shared" ca="1" si="37"/>
        <v>6.7016719788490686</v>
      </c>
      <c r="E190" s="30">
        <f t="shared" ca="1" si="34"/>
        <v>24.286952672295001</v>
      </c>
      <c r="F190" s="30">
        <f t="shared" ca="1" si="35"/>
        <v>0.14826703188409784</v>
      </c>
      <c r="G190" s="30">
        <v>188</v>
      </c>
      <c r="H190" s="30">
        <f t="shared" si="27"/>
        <v>0.15115293495314686</v>
      </c>
      <c r="I190" s="30">
        <f t="shared" ca="1" si="28"/>
        <v>12.030670261686964</v>
      </c>
      <c r="J190" s="30">
        <f t="shared" ca="1" si="29"/>
        <v>79.592700369437964</v>
      </c>
      <c r="K190" s="30">
        <f t="shared" ca="1" si="30"/>
        <v>2.7122482007840269E-35</v>
      </c>
      <c r="L190" s="30">
        <f t="shared" ca="1" si="31"/>
        <v>5.7787992862295177</v>
      </c>
      <c r="M190" s="1">
        <f t="shared" ca="1" si="32"/>
        <v>12.256282410608037</v>
      </c>
    </row>
    <row r="191" spans="1:13" x14ac:dyDescent="0.4">
      <c r="A191" s="1">
        <f t="shared" ca="1" si="36"/>
        <v>5.7787992862295177</v>
      </c>
      <c r="B191" s="30">
        <f t="shared" ca="1" si="33"/>
        <v>12.256282410608037</v>
      </c>
      <c r="C191" s="30">
        <f t="shared" ca="1" si="26"/>
        <v>0.89518953907433252</v>
      </c>
      <c r="D191" s="30">
        <f t="shared" ca="1" si="37"/>
        <v>6.6739888253038497</v>
      </c>
      <c r="E191" s="30">
        <f t="shared" ca="1" si="34"/>
        <v>23.271839995820528</v>
      </c>
      <c r="F191" s="30">
        <f t="shared" ca="1" si="35"/>
        <v>0.29945626440308315</v>
      </c>
      <c r="G191" s="30">
        <v>189</v>
      </c>
      <c r="H191" s="30">
        <f t="shared" si="27"/>
        <v>0.14964140560361539</v>
      </c>
      <c r="I191" s="30">
        <f t="shared" ca="1" si="28"/>
        <v>11.015557585212491</v>
      </c>
      <c r="J191" s="30">
        <f t="shared" ca="1" si="29"/>
        <v>73.61303204001949</v>
      </c>
      <c r="K191" s="30">
        <f t="shared" ca="1" si="30"/>
        <v>1.0721767585785099E-32</v>
      </c>
      <c r="L191" s="30">
        <f t="shared" ca="1" si="31"/>
        <v>5.7787992862295177</v>
      </c>
      <c r="M191" s="1">
        <f t="shared" ca="1" si="32"/>
        <v>12.256282410608037</v>
      </c>
    </row>
    <row r="192" spans="1:13" x14ac:dyDescent="0.4">
      <c r="A192" s="1">
        <f t="shared" ca="1" si="36"/>
        <v>5.7787992862295177</v>
      </c>
      <c r="B192" s="30">
        <f t="shared" ca="1" si="33"/>
        <v>12.256282410608037</v>
      </c>
      <c r="C192" s="30">
        <f t="shared" ca="1" si="26"/>
        <v>-0.66466421870142334</v>
      </c>
      <c r="D192" s="30">
        <f t="shared" ca="1" si="37"/>
        <v>5.1141350675280943</v>
      </c>
      <c r="E192" s="30">
        <f t="shared" ca="1" si="34"/>
        <v>17.838712660331225</v>
      </c>
      <c r="F192" s="30">
        <f t="shared" ca="1" si="35"/>
        <v>0.97938620304234369</v>
      </c>
      <c r="G192" s="30">
        <v>190</v>
      </c>
      <c r="H192" s="30">
        <f t="shared" si="27"/>
        <v>0.14814499154757926</v>
      </c>
      <c r="I192" s="30">
        <f t="shared" ca="1" si="28"/>
        <v>5.5824302497231884</v>
      </c>
      <c r="J192" s="30">
        <f t="shared" ca="1" si="29"/>
        <v>37.682207082446638</v>
      </c>
      <c r="K192" s="30">
        <f t="shared" ca="1" si="30"/>
        <v>4.3134562566630528E-17</v>
      </c>
      <c r="L192" s="30">
        <f t="shared" ca="1" si="31"/>
        <v>5.7787992862295177</v>
      </c>
      <c r="M192" s="1">
        <f t="shared" ca="1" si="32"/>
        <v>12.256282410608037</v>
      </c>
    </row>
    <row r="193" spans="1:13" x14ac:dyDescent="0.4">
      <c r="A193" s="1">
        <f t="shared" ca="1" si="36"/>
        <v>5.7787992862295177</v>
      </c>
      <c r="B193" s="30">
        <f t="shared" ca="1" si="33"/>
        <v>12.256282410608037</v>
      </c>
      <c r="C193" s="30">
        <f t="shared" ca="1" si="26"/>
        <v>-0.69140086764795572</v>
      </c>
      <c r="D193" s="30">
        <f t="shared" ca="1" si="37"/>
        <v>5.0873984185815617</v>
      </c>
      <c r="E193" s="30">
        <f t="shared" ca="1" si="34"/>
        <v>18.113467559012292</v>
      </c>
      <c r="F193" s="30">
        <f t="shared" ca="1" si="35"/>
        <v>0.13125415291946962</v>
      </c>
      <c r="G193" s="30">
        <v>191</v>
      </c>
      <c r="H193" s="30">
        <f t="shared" si="27"/>
        <v>0.14666354163210346</v>
      </c>
      <c r="I193" s="30">
        <f t="shared" ca="1" si="28"/>
        <v>5.8571851484042554</v>
      </c>
      <c r="J193" s="30">
        <f t="shared" ca="1" si="29"/>
        <v>39.936204207427686</v>
      </c>
      <c r="K193" s="30">
        <f t="shared" ca="1" si="30"/>
        <v>4.5282133895829587E-18</v>
      </c>
      <c r="L193" s="30">
        <f t="shared" ca="1" si="31"/>
        <v>5.7787992862295177</v>
      </c>
      <c r="M193" s="1">
        <f t="shared" ca="1" si="32"/>
        <v>12.256282410608037</v>
      </c>
    </row>
    <row r="194" spans="1:13" x14ac:dyDescent="0.4">
      <c r="A194" s="1">
        <f t="shared" ca="1" si="36"/>
        <v>5.7787992862295177</v>
      </c>
      <c r="B194" s="30">
        <f t="shared" ca="1" si="33"/>
        <v>12.256282410608037</v>
      </c>
      <c r="C194" s="30">
        <f t="shared" ca="1" si="26"/>
        <v>0.39269695376738767</v>
      </c>
      <c r="D194" s="30">
        <f t="shared" ca="1" si="37"/>
        <v>6.1714962399969053</v>
      </c>
      <c r="E194" s="30">
        <f t="shared" ca="1" si="34"/>
        <v>12.854783802805741</v>
      </c>
      <c r="F194" s="30">
        <f t="shared" ca="1" si="35"/>
        <v>0.17267475330585214</v>
      </c>
      <c r="G194" s="30">
        <v>192</v>
      </c>
      <c r="H194" s="30">
        <f t="shared" si="27"/>
        <v>0.14519690621578241</v>
      </c>
      <c r="I194" s="30">
        <f t="shared" ca="1" si="28"/>
        <v>0.59850139219770426</v>
      </c>
      <c r="J194" s="30">
        <f t="shared" ca="1" si="29"/>
        <v>4.1219982422232162</v>
      </c>
      <c r="K194" s="30">
        <f t="shared" ca="1" si="30"/>
        <v>1.6212086377650335E-2</v>
      </c>
      <c r="L194" s="30">
        <f t="shared" ca="1" si="31"/>
        <v>5.7787992862295177</v>
      </c>
      <c r="M194" s="1">
        <f t="shared" ca="1" si="32"/>
        <v>12.256282410608037</v>
      </c>
    </row>
    <row r="195" spans="1:13" x14ac:dyDescent="0.4">
      <c r="A195" s="1">
        <f t="shared" ca="1" si="36"/>
        <v>5.7787992862295177</v>
      </c>
      <c r="B195" s="30">
        <f t="shared" ca="1" si="33"/>
        <v>12.256282410608037</v>
      </c>
      <c r="C195" s="30">
        <f t="shared" ref="C195:C258" ca="1" si="38">2*(RAND()-0.5)</f>
        <v>-0.16620504907102629</v>
      </c>
      <c r="D195" s="30">
        <f t="shared" ca="1" si="37"/>
        <v>5.6125942371584916</v>
      </c>
      <c r="E195" s="30">
        <f t="shared" ca="1" si="34"/>
        <v>13.183900199669552</v>
      </c>
      <c r="F195" s="30">
        <f t="shared" ca="1" si="35"/>
        <v>0.50004894348105355</v>
      </c>
      <c r="G195" s="30">
        <v>193</v>
      </c>
      <c r="H195" s="30">
        <f t="shared" ref="H195:H258" si="39">0.99^G195</f>
        <v>0.1437449371536246</v>
      </c>
      <c r="I195" s="30">
        <f t="shared" ref="I195:I258" ca="1" si="40">E195-B195</f>
        <v>0.92761778906151449</v>
      </c>
      <c r="J195" s="30">
        <f t="shared" ref="J195:J258" ca="1" si="41">I195/H195</f>
        <v>6.4532205963549245</v>
      </c>
      <c r="K195" s="30">
        <f t="shared" ref="K195:K258" ca="1" si="42">IF(I195&lt;0,0,EXP(-J195))</f>
        <v>1.5754401327866098E-3</v>
      </c>
      <c r="L195" s="30">
        <f t="shared" ref="L195:L258" ca="1" si="43">IF(E195&lt;B195,D195,IF(F195&lt;K195,D195,A195))</f>
        <v>5.7787992862295177</v>
      </c>
      <c r="M195" s="1">
        <f t="shared" ref="M195:M258" ca="1" si="44">L195^4-16*L195^3+88*L195^2-190*L195+144</f>
        <v>12.256282410608037</v>
      </c>
    </row>
    <row r="196" spans="1:13" x14ac:dyDescent="0.4">
      <c r="A196" s="1">
        <f t="shared" ca="1" si="36"/>
        <v>5.7787992862295177</v>
      </c>
      <c r="B196" s="30">
        <f t="shared" ref="B196:B259" ca="1" si="45">A196^4-16*A196^3+88*A196^2-190*A196+144</f>
        <v>12.256282410608037</v>
      </c>
      <c r="C196" s="30">
        <f t="shared" ca="1" si="38"/>
        <v>0.63240435204013767</v>
      </c>
      <c r="D196" s="30">
        <f t="shared" ca="1" si="37"/>
        <v>6.4112036382696553</v>
      </c>
      <c r="E196" s="30">
        <f t="shared" ref="E196:E259" ca="1" si="46">D196^4-16*D196^3+88*D196^2-190*D196+144</f>
        <v>16.112651316274423</v>
      </c>
      <c r="F196" s="30">
        <f t="shared" ref="F196:F259" ca="1" si="47">RAND()</f>
        <v>0.54359986432164331</v>
      </c>
      <c r="G196" s="30">
        <v>194</v>
      </c>
      <c r="H196" s="30">
        <f t="shared" si="39"/>
        <v>0.14230748778208835</v>
      </c>
      <c r="I196" s="30">
        <f t="shared" ca="1" si="40"/>
        <v>3.8563689056663861</v>
      </c>
      <c r="J196" s="30">
        <f t="shared" ca="1" si="41"/>
        <v>27.098847472956173</v>
      </c>
      <c r="K196" s="30">
        <f t="shared" ca="1" si="42"/>
        <v>1.7026291972942005E-12</v>
      </c>
      <c r="L196" s="30">
        <f t="shared" ca="1" si="43"/>
        <v>5.7787992862295177</v>
      </c>
      <c r="M196" s="1">
        <f t="shared" ca="1" si="44"/>
        <v>12.256282410608037</v>
      </c>
    </row>
    <row r="197" spans="1:13" x14ac:dyDescent="0.4">
      <c r="A197" s="1">
        <f t="shared" ca="1" si="36"/>
        <v>5.7787992862295177</v>
      </c>
      <c r="B197" s="30">
        <f t="shared" ca="1" si="45"/>
        <v>12.256282410608037</v>
      </c>
      <c r="C197" s="30">
        <f t="shared" ca="1" si="38"/>
        <v>-0.88906279883726369</v>
      </c>
      <c r="D197" s="30">
        <f t="shared" ca="1" si="37"/>
        <v>4.8897364873922537</v>
      </c>
      <c r="E197" s="30">
        <f t="shared" ca="1" si="46"/>
        <v>20.073104505879769</v>
      </c>
      <c r="F197" s="30">
        <f t="shared" ca="1" si="47"/>
        <v>0.93150863294252917</v>
      </c>
      <c r="G197" s="30">
        <v>195</v>
      </c>
      <c r="H197" s="30">
        <f t="shared" si="39"/>
        <v>0.14088441290426745</v>
      </c>
      <c r="I197" s="30">
        <f t="shared" ca="1" si="40"/>
        <v>7.816822095271732</v>
      </c>
      <c r="J197" s="30">
        <f t="shared" ca="1" si="41"/>
        <v>55.483938457999258</v>
      </c>
      <c r="K197" s="30">
        <f t="shared" ca="1" si="42"/>
        <v>8.0099848272450142E-25</v>
      </c>
      <c r="L197" s="30">
        <f t="shared" ca="1" si="43"/>
        <v>5.7787992862295177</v>
      </c>
      <c r="M197" s="1">
        <f t="shared" ca="1" si="44"/>
        <v>12.256282410608037</v>
      </c>
    </row>
    <row r="198" spans="1:13" x14ac:dyDescent="0.4">
      <c r="A198" s="1">
        <f t="shared" ca="1" si="36"/>
        <v>5.7787992862295177</v>
      </c>
      <c r="B198" s="30">
        <f t="shared" ca="1" si="45"/>
        <v>12.256282410608037</v>
      </c>
      <c r="C198" s="30">
        <f t="shared" ca="1" si="38"/>
        <v>-0.94231412716052376</v>
      </c>
      <c r="D198" s="30">
        <f t="shared" ca="1" si="37"/>
        <v>4.8364851590689941</v>
      </c>
      <c r="E198" s="30">
        <f t="shared" ca="1" si="46"/>
        <v>20.564901422878847</v>
      </c>
      <c r="F198" s="30">
        <f t="shared" ca="1" si="47"/>
        <v>0.43290983416324369</v>
      </c>
      <c r="G198" s="30">
        <v>196</v>
      </c>
      <c r="H198" s="30">
        <f t="shared" si="39"/>
        <v>0.1394755687752248</v>
      </c>
      <c r="I198" s="30">
        <f t="shared" ca="1" si="40"/>
        <v>8.3086190122708103</v>
      </c>
      <c r="J198" s="30">
        <f t="shared" ca="1" si="41"/>
        <v>59.570425740014478</v>
      </c>
      <c r="K198" s="30">
        <f t="shared" ca="1" si="42"/>
        <v>1.3455282378283474E-26</v>
      </c>
      <c r="L198" s="30">
        <f t="shared" ca="1" si="43"/>
        <v>5.7787992862295177</v>
      </c>
      <c r="M198" s="1">
        <f t="shared" ca="1" si="44"/>
        <v>12.256282410608037</v>
      </c>
    </row>
    <row r="199" spans="1:13" x14ac:dyDescent="0.4">
      <c r="A199" s="1">
        <f t="shared" ca="1" si="36"/>
        <v>5.7787992862295177</v>
      </c>
      <c r="B199" s="30">
        <f t="shared" ca="1" si="45"/>
        <v>12.256282410608037</v>
      </c>
      <c r="C199" s="30">
        <f t="shared" ca="1" si="38"/>
        <v>0.43118344218642357</v>
      </c>
      <c r="D199" s="30">
        <f t="shared" ca="1" si="37"/>
        <v>6.209982728415941</v>
      </c>
      <c r="E199" s="30">
        <f t="shared" ca="1" si="46"/>
        <v>13.201463288089371</v>
      </c>
      <c r="F199" s="30">
        <f t="shared" ca="1" si="47"/>
        <v>0.8963510174223569</v>
      </c>
      <c r="G199" s="30">
        <v>197</v>
      </c>
      <c r="H199" s="30">
        <f t="shared" si="39"/>
        <v>0.13808081308747253</v>
      </c>
      <c r="I199" s="30">
        <f t="shared" ca="1" si="40"/>
        <v>0.94518087748133439</v>
      </c>
      <c r="J199" s="30">
        <f t="shared" ca="1" si="41"/>
        <v>6.8451282719676172</v>
      </c>
      <c r="K199" s="30">
        <f t="shared" ca="1" si="42"/>
        <v>1.064629665766987E-3</v>
      </c>
      <c r="L199" s="30">
        <f t="shared" ca="1" si="43"/>
        <v>5.7787992862295177</v>
      </c>
      <c r="M199" s="1">
        <f t="shared" ca="1" si="44"/>
        <v>12.256282410608037</v>
      </c>
    </row>
    <row r="200" spans="1:13" x14ac:dyDescent="0.4">
      <c r="A200" s="1">
        <f t="shared" ca="1" si="36"/>
        <v>5.7787992862295177</v>
      </c>
      <c r="B200" s="30">
        <f t="shared" ca="1" si="45"/>
        <v>12.256282410608037</v>
      </c>
      <c r="C200" s="30">
        <f t="shared" ca="1" si="38"/>
        <v>-0.42249326649931618</v>
      </c>
      <c r="D200" s="30">
        <f t="shared" ca="1" si="37"/>
        <v>5.3563060197302015</v>
      </c>
      <c r="E200" s="30">
        <f t="shared" ca="1" si="46"/>
        <v>15.380087025043963</v>
      </c>
      <c r="F200" s="30">
        <f t="shared" ca="1" si="47"/>
        <v>0.60494047646451099</v>
      </c>
      <c r="G200" s="30">
        <v>198</v>
      </c>
      <c r="H200" s="30">
        <f t="shared" si="39"/>
        <v>0.13670000495659779</v>
      </c>
      <c r="I200" s="30">
        <f t="shared" ca="1" si="40"/>
        <v>3.1238046144359259</v>
      </c>
      <c r="J200" s="30">
        <f t="shared" ca="1" si="41"/>
        <v>22.851532561595246</v>
      </c>
      <c r="K200" s="30">
        <f t="shared" ca="1" si="42"/>
        <v>1.1904345021590293E-10</v>
      </c>
      <c r="L200" s="30">
        <f t="shared" ca="1" si="43"/>
        <v>5.7787992862295177</v>
      </c>
      <c r="M200" s="1">
        <f t="shared" ca="1" si="44"/>
        <v>12.256282410608037</v>
      </c>
    </row>
    <row r="201" spans="1:13" x14ac:dyDescent="0.4">
      <c r="A201" s="1">
        <f t="shared" ca="1" si="36"/>
        <v>5.7787992862295177</v>
      </c>
      <c r="B201" s="30">
        <f t="shared" ca="1" si="45"/>
        <v>12.256282410608037</v>
      </c>
      <c r="C201" s="30">
        <f t="shared" ca="1" si="38"/>
        <v>-0.64784292485469641</v>
      </c>
      <c r="D201" s="30">
        <f t="shared" ca="1" si="37"/>
        <v>5.130956361374821</v>
      </c>
      <c r="E201" s="30">
        <f t="shared" ca="1" si="46"/>
        <v>17.665414737188939</v>
      </c>
      <c r="F201" s="30">
        <f t="shared" ca="1" si="47"/>
        <v>0.23538350922912776</v>
      </c>
      <c r="G201" s="30">
        <v>199</v>
      </c>
      <c r="H201" s="30">
        <f t="shared" si="39"/>
        <v>0.13533300490703182</v>
      </c>
      <c r="I201" s="30">
        <f t="shared" ca="1" si="40"/>
        <v>5.4091323265809024</v>
      </c>
      <c r="J201" s="30">
        <f t="shared" ca="1" si="41"/>
        <v>39.969055074900261</v>
      </c>
      <c r="K201" s="30">
        <f t="shared" ca="1" si="42"/>
        <v>4.3818744917615364E-18</v>
      </c>
      <c r="L201" s="30">
        <f t="shared" ca="1" si="43"/>
        <v>5.7787992862295177</v>
      </c>
      <c r="M201" s="1">
        <f t="shared" ca="1" si="44"/>
        <v>12.256282410608037</v>
      </c>
    </row>
    <row r="202" spans="1:13" x14ac:dyDescent="0.4">
      <c r="A202" s="1">
        <f t="shared" ca="1" si="36"/>
        <v>5.7787992862295177</v>
      </c>
      <c r="B202" s="30">
        <f t="shared" ca="1" si="45"/>
        <v>12.256282410608037</v>
      </c>
      <c r="C202" s="30">
        <f t="shared" ca="1" si="38"/>
        <v>-6.6708656162951518E-2</v>
      </c>
      <c r="D202" s="30">
        <f t="shared" ca="1" si="37"/>
        <v>5.7120906300665659</v>
      </c>
      <c r="E202" s="30">
        <f t="shared" ca="1" si="46"/>
        <v>12.566398576763504</v>
      </c>
      <c r="F202" s="30">
        <f t="shared" ca="1" si="47"/>
        <v>6.4606172332301925E-2</v>
      </c>
      <c r="G202" s="30">
        <v>200</v>
      </c>
      <c r="H202" s="30">
        <f t="shared" si="39"/>
        <v>0.13397967485796147</v>
      </c>
      <c r="I202" s="30">
        <f t="shared" ca="1" si="40"/>
        <v>0.310116166155467</v>
      </c>
      <c r="J202" s="30">
        <f t="shared" ca="1" si="41"/>
        <v>2.3146508340480496</v>
      </c>
      <c r="K202" s="30">
        <f t="shared" ca="1" si="42"/>
        <v>9.8800675812121555E-2</v>
      </c>
      <c r="L202" s="30">
        <f t="shared" ca="1" si="43"/>
        <v>5.7120906300665659</v>
      </c>
      <c r="M202" s="1">
        <f t="shared" ca="1" si="44"/>
        <v>12.566398576763504</v>
      </c>
    </row>
    <row r="203" spans="1:13" x14ac:dyDescent="0.4">
      <c r="A203" s="1">
        <f t="shared" ca="1" si="36"/>
        <v>5.7120906300665659</v>
      </c>
      <c r="B203" s="30">
        <f t="shared" ca="1" si="45"/>
        <v>12.566398576763504</v>
      </c>
      <c r="C203" s="30">
        <f t="shared" ca="1" si="38"/>
        <v>0.83497951655540681</v>
      </c>
      <c r="D203" s="30">
        <f t="shared" ca="1" si="37"/>
        <v>6.547070146621973</v>
      </c>
      <c r="E203" s="30">
        <f t="shared" ca="1" si="46"/>
        <v>19.282126548412407</v>
      </c>
      <c r="F203" s="30">
        <f t="shared" ca="1" si="47"/>
        <v>1.24964263523204E-2</v>
      </c>
      <c r="G203" s="30">
        <v>201</v>
      </c>
      <c r="H203" s="30">
        <f t="shared" si="39"/>
        <v>0.13263987810938188</v>
      </c>
      <c r="I203" s="30">
        <f t="shared" ca="1" si="40"/>
        <v>6.7157279716489029</v>
      </c>
      <c r="J203" s="30">
        <f t="shared" ca="1" si="41"/>
        <v>50.631288775090376</v>
      </c>
      <c r="K203" s="30">
        <f t="shared" ca="1" si="42"/>
        <v>1.0259133313155952E-22</v>
      </c>
      <c r="L203" s="30">
        <f t="shared" ca="1" si="43"/>
        <v>5.7120906300665659</v>
      </c>
      <c r="M203" s="1">
        <f t="shared" ca="1" si="44"/>
        <v>12.566398576763504</v>
      </c>
    </row>
    <row r="204" spans="1:13" x14ac:dyDescent="0.4">
      <c r="A204" s="1">
        <f t="shared" ca="1" si="36"/>
        <v>5.7120906300665659</v>
      </c>
      <c r="B204" s="30">
        <f t="shared" ca="1" si="45"/>
        <v>12.566398576763504</v>
      </c>
      <c r="C204" s="30">
        <f t="shared" ca="1" si="38"/>
        <v>-0.95645477131262324</v>
      </c>
      <c r="D204" s="30">
        <f t="shared" ca="1" si="37"/>
        <v>4.7556358587539425</v>
      </c>
      <c r="E204" s="30">
        <f t="shared" ca="1" si="46"/>
        <v>21.269411808719951</v>
      </c>
      <c r="F204" s="30">
        <f t="shared" ca="1" si="47"/>
        <v>0.44120773849813089</v>
      </c>
      <c r="G204" s="30">
        <v>202</v>
      </c>
      <c r="H204" s="30">
        <f t="shared" si="39"/>
        <v>0.13131347932828805</v>
      </c>
      <c r="I204" s="30">
        <f t="shared" ca="1" si="40"/>
        <v>8.7030132319564473</v>
      </c>
      <c r="J204" s="30">
        <f t="shared" ca="1" si="41"/>
        <v>66.276617423247359</v>
      </c>
      <c r="K204" s="30">
        <f t="shared" ca="1" si="42"/>
        <v>1.6460035740049748E-29</v>
      </c>
      <c r="L204" s="30">
        <f t="shared" ca="1" si="43"/>
        <v>5.7120906300665659</v>
      </c>
      <c r="M204" s="1">
        <f t="shared" ca="1" si="44"/>
        <v>12.566398576763504</v>
      </c>
    </row>
    <row r="205" spans="1:13" x14ac:dyDescent="0.4">
      <c r="A205" s="1">
        <f t="shared" ca="1" si="36"/>
        <v>5.7120906300665659</v>
      </c>
      <c r="B205" s="30">
        <f t="shared" ca="1" si="45"/>
        <v>12.566398576763504</v>
      </c>
      <c r="C205" s="30">
        <f t="shared" ca="1" si="38"/>
        <v>-0.15887433780037941</v>
      </c>
      <c r="D205" s="30">
        <f t="shared" ca="1" si="37"/>
        <v>5.5532162922661863</v>
      </c>
      <c r="E205" s="30">
        <f t="shared" ca="1" si="46"/>
        <v>13.626649634367368</v>
      </c>
      <c r="F205" s="30">
        <f t="shared" ca="1" si="47"/>
        <v>0.80832031091568612</v>
      </c>
      <c r="G205" s="30">
        <v>203</v>
      </c>
      <c r="H205" s="30">
        <f t="shared" si="39"/>
        <v>0.13000034453500517</v>
      </c>
      <c r="I205" s="30">
        <f t="shared" ca="1" si="40"/>
        <v>1.060251057603864</v>
      </c>
      <c r="J205" s="30">
        <f t="shared" ca="1" si="41"/>
        <v>8.1557557512347234</v>
      </c>
      <c r="K205" s="30">
        <f t="shared" ca="1" si="42"/>
        <v>2.8707824427222633E-4</v>
      </c>
      <c r="L205" s="30">
        <f t="shared" ca="1" si="43"/>
        <v>5.7120906300665659</v>
      </c>
      <c r="M205" s="1">
        <f t="shared" ca="1" si="44"/>
        <v>12.566398576763504</v>
      </c>
    </row>
    <row r="206" spans="1:13" x14ac:dyDescent="0.4">
      <c r="A206" s="1">
        <f t="shared" ca="1" si="36"/>
        <v>5.7120906300665659</v>
      </c>
      <c r="B206" s="30">
        <f t="shared" ca="1" si="45"/>
        <v>12.566398576763504</v>
      </c>
      <c r="C206" s="30">
        <f t="shared" ca="1" si="38"/>
        <v>0.76716075089772384</v>
      </c>
      <c r="D206" s="30">
        <f t="shared" ca="1" si="37"/>
        <v>6.47925138096429</v>
      </c>
      <c r="E206" s="30">
        <f t="shared" ca="1" si="46"/>
        <v>17.566769598238352</v>
      </c>
      <c r="F206" s="30">
        <f t="shared" ca="1" si="47"/>
        <v>0.36387741734547396</v>
      </c>
      <c r="G206" s="30">
        <v>204</v>
      </c>
      <c r="H206" s="30">
        <f t="shared" si="39"/>
        <v>0.12870034108965514</v>
      </c>
      <c r="I206" s="30">
        <f t="shared" ca="1" si="40"/>
        <v>5.000371021474848</v>
      </c>
      <c r="J206" s="30">
        <f t="shared" ca="1" si="41"/>
        <v>38.852818719349727</v>
      </c>
      <c r="K206" s="30">
        <f t="shared" ca="1" si="42"/>
        <v>1.3379356435377412E-17</v>
      </c>
      <c r="L206" s="30">
        <f t="shared" ca="1" si="43"/>
        <v>5.7120906300665659</v>
      </c>
      <c r="M206" s="1">
        <f t="shared" ca="1" si="44"/>
        <v>12.566398576763504</v>
      </c>
    </row>
    <row r="207" spans="1:13" x14ac:dyDescent="0.4">
      <c r="A207" s="1">
        <f t="shared" ca="1" si="36"/>
        <v>5.7120906300665659</v>
      </c>
      <c r="B207" s="30">
        <f t="shared" ca="1" si="45"/>
        <v>12.566398576763504</v>
      </c>
      <c r="C207" s="30">
        <f t="shared" ca="1" si="38"/>
        <v>0.21684385470319767</v>
      </c>
      <c r="D207" s="30">
        <f t="shared" ca="1" si="37"/>
        <v>5.9289344847697638</v>
      </c>
      <c r="E207" s="30">
        <f t="shared" ca="1" si="46"/>
        <v>11.935828172813217</v>
      </c>
      <c r="F207" s="30">
        <f t="shared" ca="1" si="47"/>
        <v>0.75254223050916746</v>
      </c>
      <c r="G207" s="30">
        <v>205</v>
      </c>
      <c r="H207" s="30">
        <f t="shared" si="39"/>
        <v>0.12741333767875856</v>
      </c>
      <c r="I207" s="30">
        <f t="shared" ca="1" si="40"/>
        <v>-0.63057040395028707</v>
      </c>
      <c r="J207" s="30">
        <f t="shared" ca="1" si="41"/>
        <v>-4.9490140941140357</v>
      </c>
      <c r="K207" s="30">
        <f t="shared" ca="1" si="42"/>
        <v>0</v>
      </c>
      <c r="L207" s="30">
        <f t="shared" ca="1" si="43"/>
        <v>5.9289344847697638</v>
      </c>
      <c r="M207" s="1">
        <f t="shared" ca="1" si="44"/>
        <v>11.935828172813217</v>
      </c>
    </row>
    <row r="208" spans="1:13" x14ac:dyDescent="0.4">
      <c r="A208" s="1">
        <f t="shared" ca="1" si="36"/>
        <v>5.9289344847697638</v>
      </c>
      <c r="B208" s="30">
        <f t="shared" ca="1" si="45"/>
        <v>11.935828172813217</v>
      </c>
      <c r="C208" s="30">
        <f t="shared" ca="1" si="38"/>
        <v>-0.52414575439030053</v>
      </c>
      <c r="D208" s="30">
        <f t="shared" ca="1" si="37"/>
        <v>5.4047887303794635</v>
      </c>
      <c r="E208" s="30">
        <f t="shared" ca="1" si="46"/>
        <v>14.91655784448244</v>
      </c>
      <c r="F208" s="30">
        <f t="shared" ca="1" si="47"/>
        <v>0.61517907042828091</v>
      </c>
      <c r="G208" s="30">
        <v>206</v>
      </c>
      <c r="H208" s="30">
        <f t="shared" si="39"/>
        <v>0.12613920430197098</v>
      </c>
      <c r="I208" s="30">
        <f t="shared" ca="1" si="40"/>
        <v>2.9807296716692235</v>
      </c>
      <c r="J208" s="30">
        <f t="shared" ca="1" si="41"/>
        <v>23.63047783727496</v>
      </c>
      <c r="K208" s="30">
        <f t="shared" ca="1" si="42"/>
        <v>5.4627820101410286E-11</v>
      </c>
      <c r="L208" s="30">
        <f t="shared" ca="1" si="43"/>
        <v>5.9289344847697638</v>
      </c>
      <c r="M208" s="1">
        <f t="shared" ca="1" si="44"/>
        <v>11.935828172813217</v>
      </c>
    </row>
    <row r="209" spans="1:13" x14ac:dyDescent="0.4">
      <c r="A209" s="1">
        <f t="shared" ca="1" si="36"/>
        <v>5.9289344847697638</v>
      </c>
      <c r="B209" s="30">
        <f t="shared" ca="1" si="45"/>
        <v>11.935828172813217</v>
      </c>
      <c r="C209" s="30">
        <f t="shared" ca="1" si="38"/>
        <v>0.74729398966171523</v>
      </c>
      <c r="D209" s="30">
        <f t="shared" ca="1" si="37"/>
        <v>6.676228474431479</v>
      </c>
      <c r="E209" s="30">
        <f t="shared" ca="1" si="46"/>
        <v>23.351958499094508</v>
      </c>
      <c r="F209" s="30">
        <f t="shared" ca="1" si="47"/>
        <v>0.1640407716771678</v>
      </c>
      <c r="G209" s="30">
        <v>207</v>
      </c>
      <c r="H209" s="30">
        <f t="shared" si="39"/>
        <v>0.12487781225895127</v>
      </c>
      <c r="I209" s="30">
        <f t="shared" ca="1" si="40"/>
        <v>11.416130326281291</v>
      </c>
      <c r="J209" s="30">
        <f t="shared" ca="1" si="41"/>
        <v>91.418404276721148</v>
      </c>
      <c r="K209" s="30">
        <f t="shared" ca="1" si="42"/>
        <v>1.9837707306572537E-40</v>
      </c>
      <c r="L209" s="30">
        <f t="shared" ca="1" si="43"/>
        <v>5.9289344847697638</v>
      </c>
      <c r="M209" s="1">
        <f t="shared" ca="1" si="44"/>
        <v>11.935828172813217</v>
      </c>
    </row>
    <row r="210" spans="1:13" x14ac:dyDescent="0.4">
      <c r="A210" s="1">
        <f t="shared" ca="1" si="36"/>
        <v>5.9289344847697638</v>
      </c>
      <c r="B210" s="30">
        <f t="shared" ca="1" si="45"/>
        <v>11.935828172813217</v>
      </c>
      <c r="C210" s="30">
        <f t="shared" ca="1" si="38"/>
        <v>5.2346694509746605E-2</v>
      </c>
      <c r="D210" s="30">
        <f t="shared" ca="1" si="37"/>
        <v>5.9812811792795104</v>
      </c>
      <c r="E210" s="30">
        <f t="shared" ca="1" si="46"/>
        <v>11.968116317584872</v>
      </c>
      <c r="F210" s="30">
        <f t="shared" ca="1" si="47"/>
        <v>0.88029481018381928</v>
      </c>
      <c r="G210" s="30">
        <v>208</v>
      </c>
      <c r="H210" s="30">
        <f t="shared" si="39"/>
        <v>0.12362903413636175</v>
      </c>
      <c r="I210" s="30">
        <f t="shared" ca="1" si="40"/>
        <v>3.2288144771655425E-2</v>
      </c>
      <c r="J210" s="30">
        <f t="shared" ca="1" si="41"/>
        <v>0.26116959496781217</v>
      </c>
      <c r="K210" s="30">
        <f t="shared" ca="1" si="42"/>
        <v>0.7701502949242689</v>
      </c>
      <c r="L210" s="30">
        <f t="shared" ca="1" si="43"/>
        <v>5.9289344847697638</v>
      </c>
      <c r="M210" s="1">
        <f t="shared" ca="1" si="44"/>
        <v>11.935828172813217</v>
      </c>
    </row>
    <row r="211" spans="1:13" x14ac:dyDescent="0.4">
      <c r="A211" s="1">
        <f t="shared" ca="1" si="36"/>
        <v>5.9289344847697638</v>
      </c>
      <c r="B211" s="30">
        <f t="shared" ca="1" si="45"/>
        <v>11.935828172813217</v>
      </c>
      <c r="C211" s="30">
        <f t="shared" ca="1" si="38"/>
        <v>0.64629295044181179</v>
      </c>
      <c r="D211" s="30">
        <f t="shared" ca="1" si="37"/>
        <v>6.5752274352115752</v>
      </c>
      <c r="E211" s="30">
        <f t="shared" ca="1" si="46"/>
        <v>20.076806861801742</v>
      </c>
      <c r="F211" s="30">
        <f t="shared" ca="1" si="47"/>
        <v>0.25612838619727707</v>
      </c>
      <c r="G211" s="30">
        <v>209</v>
      </c>
      <c r="H211" s="30">
        <f t="shared" si="39"/>
        <v>0.12239274379499814</v>
      </c>
      <c r="I211" s="30">
        <f t="shared" ca="1" si="40"/>
        <v>8.1409786889885254</v>
      </c>
      <c r="J211" s="30">
        <f t="shared" ca="1" si="41"/>
        <v>66.515207001358405</v>
      </c>
      <c r="K211" s="30">
        <f t="shared" ca="1" si="42"/>
        <v>1.2966197625520025E-29</v>
      </c>
      <c r="L211" s="30">
        <f t="shared" ca="1" si="43"/>
        <v>5.9289344847697638</v>
      </c>
      <c r="M211" s="1">
        <f t="shared" ca="1" si="44"/>
        <v>11.935828172813217</v>
      </c>
    </row>
    <row r="212" spans="1:13" x14ac:dyDescent="0.4">
      <c r="A212" s="1">
        <f t="shared" ref="A212:A275" ca="1" si="48">L211</f>
        <v>5.9289344847697638</v>
      </c>
      <c r="B212" s="30">
        <f t="shared" ca="1" si="45"/>
        <v>11.935828172813217</v>
      </c>
      <c r="C212" s="30">
        <f t="shared" ca="1" si="38"/>
        <v>-0.63098605498099869</v>
      </c>
      <c r="D212" s="30">
        <f t="shared" ref="D212:D275" ca="1" si="49">A212+C212</f>
        <v>5.2979484297887653</v>
      </c>
      <c r="E212" s="30">
        <f t="shared" ca="1" si="46"/>
        <v>15.956649283203433</v>
      </c>
      <c r="F212" s="30">
        <f t="shared" ca="1" si="47"/>
        <v>0.67551400114988658</v>
      </c>
      <c r="G212" s="30">
        <v>210</v>
      </c>
      <c r="H212" s="30">
        <f t="shared" si="39"/>
        <v>0.12116881635704815</v>
      </c>
      <c r="I212" s="30">
        <f t="shared" ca="1" si="40"/>
        <v>4.0208211103902158</v>
      </c>
      <c r="J212" s="30">
        <f t="shared" ca="1" si="41"/>
        <v>33.183629511920479</v>
      </c>
      <c r="K212" s="30">
        <f t="shared" ca="1" si="42"/>
        <v>3.8773304286966599E-15</v>
      </c>
      <c r="L212" s="30">
        <f t="shared" ca="1" si="43"/>
        <v>5.9289344847697638</v>
      </c>
      <c r="M212" s="1">
        <f t="shared" ca="1" si="44"/>
        <v>11.935828172813217</v>
      </c>
    </row>
    <row r="213" spans="1:13" x14ac:dyDescent="0.4">
      <c r="A213" s="1">
        <f t="shared" ca="1" si="48"/>
        <v>5.9289344847697638</v>
      </c>
      <c r="B213" s="30">
        <f t="shared" ca="1" si="45"/>
        <v>11.935828172813217</v>
      </c>
      <c r="C213" s="30">
        <f t="shared" ca="1" si="38"/>
        <v>4.3335412694946784E-2</v>
      </c>
      <c r="D213" s="30">
        <f t="shared" ca="1" si="49"/>
        <v>5.9722698974647104</v>
      </c>
      <c r="E213" s="30">
        <f t="shared" ca="1" si="46"/>
        <v>11.956673137209236</v>
      </c>
      <c r="F213" s="30">
        <f t="shared" ca="1" si="47"/>
        <v>0.10285511011816895</v>
      </c>
      <c r="G213" s="30">
        <v>211</v>
      </c>
      <c r="H213" s="30">
        <f t="shared" si="39"/>
        <v>0.11995712819347766</v>
      </c>
      <c r="I213" s="30">
        <f t="shared" ca="1" si="40"/>
        <v>2.084496439601935E-2</v>
      </c>
      <c r="J213" s="30">
        <f t="shared" ca="1" si="41"/>
        <v>0.17377011862436981</v>
      </c>
      <c r="K213" s="30">
        <f t="shared" ca="1" si="42"/>
        <v>0.84049008846983686</v>
      </c>
      <c r="L213" s="30">
        <f t="shared" ca="1" si="43"/>
        <v>5.9722698974647104</v>
      </c>
      <c r="M213" s="1">
        <f t="shared" ca="1" si="44"/>
        <v>11.956673137209236</v>
      </c>
    </row>
    <row r="214" spans="1:13" x14ac:dyDescent="0.4">
      <c r="A214" s="1">
        <f t="shared" ca="1" si="48"/>
        <v>5.9722698974647104</v>
      </c>
      <c r="B214" s="30">
        <f t="shared" ca="1" si="45"/>
        <v>11.956673137209236</v>
      </c>
      <c r="C214" s="30">
        <f t="shared" ca="1" si="38"/>
        <v>0.2657692673126193</v>
      </c>
      <c r="D214" s="30">
        <f t="shared" ca="1" si="49"/>
        <v>6.2380391647773301</v>
      </c>
      <c r="E214" s="30">
        <f t="shared" ca="1" si="46"/>
        <v>13.493794715815739</v>
      </c>
      <c r="F214" s="30">
        <f t="shared" ca="1" si="47"/>
        <v>0.26767364861221676</v>
      </c>
      <c r="G214" s="30">
        <v>212</v>
      </c>
      <c r="H214" s="30">
        <f t="shared" si="39"/>
        <v>0.1187575569115429</v>
      </c>
      <c r="I214" s="30">
        <f t="shared" ca="1" si="40"/>
        <v>1.5371215786065022</v>
      </c>
      <c r="J214" s="30">
        <f t="shared" ca="1" si="41"/>
        <v>12.943358036166357</v>
      </c>
      <c r="K214" s="30">
        <f t="shared" ca="1" si="42"/>
        <v>2.392054264832716E-6</v>
      </c>
      <c r="L214" s="30">
        <f t="shared" ca="1" si="43"/>
        <v>5.9722698974647104</v>
      </c>
      <c r="M214" s="1">
        <f t="shared" ca="1" si="44"/>
        <v>11.956673137209236</v>
      </c>
    </row>
    <row r="215" spans="1:13" x14ac:dyDescent="0.4">
      <c r="A215" s="1">
        <f t="shared" ca="1" si="48"/>
        <v>5.9722698974647104</v>
      </c>
      <c r="B215" s="30">
        <f t="shared" ca="1" si="45"/>
        <v>11.956673137209236</v>
      </c>
      <c r="C215" s="30">
        <f t="shared" ca="1" si="38"/>
        <v>2.2924765700936822E-2</v>
      </c>
      <c r="D215" s="30">
        <f t="shared" ca="1" si="49"/>
        <v>5.9951946631656474</v>
      </c>
      <c r="E215" s="30">
        <f t="shared" ca="1" si="46"/>
        <v>11.990757899367736</v>
      </c>
      <c r="F215" s="30">
        <f t="shared" ca="1" si="47"/>
        <v>0.34117266826157566</v>
      </c>
      <c r="G215" s="30">
        <v>213</v>
      </c>
      <c r="H215" s="30">
        <f t="shared" si="39"/>
        <v>0.11756998134242747</v>
      </c>
      <c r="I215" s="30">
        <f t="shared" ca="1" si="40"/>
        <v>3.4084762158499871E-2</v>
      </c>
      <c r="J215" s="30">
        <f t="shared" ca="1" si="41"/>
        <v>0.28991041564620634</v>
      </c>
      <c r="K215" s="30">
        <f t="shared" ca="1" si="42"/>
        <v>0.74833060328936463</v>
      </c>
      <c r="L215" s="30">
        <f t="shared" ca="1" si="43"/>
        <v>5.9951946631656474</v>
      </c>
      <c r="M215" s="1">
        <f t="shared" ca="1" si="44"/>
        <v>11.990757899367736</v>
      </c>
    </row>
    <row r="216" spans="1:13" x14ac:dyDescent="0.4">
      <c r="A216" s="1">
        <f t="shared" ca="1" si="48"/>
        <v>5.9951946631656474</v>
      </c>
      <c r="B216" s="30">
        <f t="shared" ca="1" si="45"/>
        <v>11.990757899367736</v>
      </c>
      <c r="C216" s="30">
        <f t="shared" ca="1" si="38"/>
        <v>0.80081899149191504</v>
      </c>
      <c r="D216" s="30">
        <f t="shared" ca="1" si="49"/>
        <v>6.7960136546575622</v>
      </c>
      <c r="E216" s="30">
        <f t="shared" ca="1" si="46"/>
        <v>28.166802242252515</v>
      </c>
      <c r="F216" s="30">
        <f t="shared" ca="1" si="47"/>
        <v>0.42243792787550993</v>
      </c>
      <c r="G216" s="30">
        <v>214</v>
      </c>
      <c r="H216" s="30">
        <f t="shared" si="39"/>
        <v>0.11639428152900318</v>
      </c>
      <c r="I216" s="30">
        <f t="shared" ca="1" si="40"/>
        <v>16.176044342884779</v>
      </c>
      <c r="J216" s="30">
        <f t="shared" ca="1" si="41"/>
        <v>138.97628071061229</v>
      </c>
      <c r="K216" s="30">
        <f t="shared" ca="1" si="42"/>
        <v>4.399143936129937E-61</v>
      </c>
      <c r="L216" s="30">
        <f t="shared" ca="1" si="43"/>
        <v>5.9951946631656474</v>
      </c>
      <c r="M216" s="1">
        <f t="shared" ca="1" si="44"/>
        <v>11.990757899367736</v>
      </c>
    </row>
    <row r="217" spans="1:13" x14ac:dyDescent="0.4">
      <c r="A217" s="1">
        <f t="shared" ca="1" si="48"/>
        <v>5.9951946631656474</v>
      </c>
      <c r="B217" s="30">
        <f t="shared" ca="1" si="45"/>
        <v>11.990757899367736</v>
      </c>
      <c r="C217" s="30">
        <f t="shared" ca="1" si="38"/>
        <v>-0.27448433767626934</v>
      </c>
      <c r="D217" s="30">
        <f t="shared" ca="1" si="49"/>
        <v>5.7207103254893781</v>
      </c>
      <c r="E217" s="30">
        <f t="shared" ca="1" si="46"/>
        <v>12.521265792923941</v>
      </c>
      <c r="F217" s="30">
        <f t="shared" ca="1" si="47"/>
        <v>9.4057487055216105E-2</v>
      </c>
      <c r="G217" s="30">
        <v>215</v>
      </c>
      <c r="H217" s="30">
        <f t="shared" si="39"/>
        <v>0.11523033871371316</v>
      </c>
      <c r="I217" s="30">
        <f t="shared" ca="1" si="40"/>
        <v>0.53050789355620509</v>
      </c>
      <c r="J217" s="30">
        <f t="shared" ca="1" si="41"/>
        <v>4.6038907763192336</v>
      </c>
      <c r="K217" s="30">
        <f t="shared" ca="1" si="42"/>
        <v>1.0012802284625618E-2</v>
      </c>
      <c r="L217" s="30">
        <f t="shared" ca="1" si="43"/>
        <v>5.9951946631656474</v>
      </c>
      <c r="M217" s="1">
        <f t="shared" ca="1" si="44"/>
        <v>11.990757899367736</v>
      </c>
    </row>
    <row r="218" spans="1:13" x14ac:dyDescent="0.4">
      <c r="A218" s="1">
        <f t="shared" ca="1" si="48"/>
        <v>5.9951946631656474</v>
      </c>
      <c r="B218" s="30">
        <f t="shared" ca="1" si="45"/>
        <v>11.990757899367736</v>
      </c>
      <c r="C218" s="30">
        <f t="shared" ca="1" si="38"/>
        <v>-6.8234132370806222E-2</v>
      </c>
      <c r="D218" s="30">
        <f t="shared" ca="1" si="49"/>
        <v>5.9269605307948412</v>
      </c>
      <c r="E218" s="30">
        <f t="shared" ca="1" si="46"/>
        <v>11.936188559601987</v>
      </c>
      <c r="F218" s="30">
        <f t="shared" ca="1" si="47"/>
        <v>0.693013881766258</v>
      </c>
      <c r="G218" s="30">
        <v>216</v>
      </c>
      <c r="H218" s="30">
        <f t="shared" si="39"/>
        <v>0.11407803532657602</v>
      </c>
      <c r="I218" s="30">
        <f t="shared" ca="1" si="40"/>
        <v>-5.4569339765748737E-2</v>
      </c>
      <c r="J218" s="30">
        <f t="shared" ca="1" si="41"/>
        <v>-0.47835097799090576</v>
      </c>
      <c r="K218" s="30">
        <f t="shared" ca="1" si="42"/>
        <v>0</v>
      </c>
      <c r="L218" s="30">
        <f t="shared" ca="1" si="43"/>
        <v>5.9269605307948412</v>
      </c>
      <c r="M218" s="1">
        <f t="shared" ca="1" si="44"/>
        <v>11.936188559601987</v>
      </c>
    </row>
    <row r="219" spans="1:13" x14ac:dyDescent="0.4">
      <c r="A219" s="1">
        <f t="shared" ca="1" si="48"/>
        <v>5.9269605307948412</v>
      </c>
      <c r="B219" s="30">
        <f t="shared" ca="1" si="45"/>
        <v>11.936188559601987</v>
      </c>
      <c r="C219" s="30">
        <f t="shared" ca="1" si="38"/>
        <v>-0.45952233380416629</v>
      </c>
      <c r="D219" s="30">
        <f t="shared" ca="1" si="49"/>
        <v>5.4674381969906749</v>
      </c>
      <c r="E219" s="30">
        <f t="shared" ca="1" si="46"/>
        <v>14.344900794321802</v>
      </c>
      <c r="F219" s="30">
        <f t="shared" ca="1" si="47"/>
        <v>0.23904994105400901</v>
      </c>
      <c r="G219" s="30">
        <v>217</v>
      </c>
      <c r="H219" s="30">
        <f t="shared" si="39"/>
        <v>0.11293725497331025</v>
      </c>
      <c r="I219" s="30">
        <f t="shared" ca="1" si="40"/>
        <v>2.4087122347198147</v>
      </c>
      <c r="J219" s="30">
        <f t="shared" ca="1" si="41"/>
        <v>21.327880116167606</v>
      </c>
      <c r="K219" s="30">
        <f t="shared" ca="1" si="42"/>
        <v>5.4628509952068045E-10</v>
      </c>
      <c r="L219" s="30">
        <f t="shared" ca="1" si="43"/>
        <v>5.9269605307948412</v>
      </c>
      <c r="M219" s="1">
        <f t="shared" ca="1" si="44"/>
        <v>11.936188559601987</v>
      </c>
    </row>
    <row r="220" spans="1:13" x14ac:dyDescent="0.4">
      <c r="A220" s="1">
        <f t="shared" ca="1" si="48"/>
        <v>5.9269605307948412</v>
      </c>
      <c r="B220" s="30">
        <f t="shared" ca="1" si="45"/>
        <v>11.936188559601987</v>
      </c>
      <c r="C220" s="30">
        <f t="shared" ca="1" si="38"/>
        <v>-0.12680489415431984</v>
      </c>
      <c r="D220" s="30">
        <f t="shared" ca="1" si="49"/>
        <v>5.8001556366405218</v>
      </c>
      <c r="E220" s="30">
        <f t="shared" ca="1" si="46"/>
        <v>12.177059906719705</v>
      </c>
      <c r="F220" s="30">
        <f t="shared" ca="1" si="47"/>
        <v>0.26771419222795445</v>
      </c>
      <c r="G220" s="30">
        <v>218</v>
      </c>
      <c r="H220" s="30">
        <f t="shared" si="39"/>
        <v>0.11180788242357716</v>
      </c>
      <c r="I220" s="30">
        <f t="shared" ca="1" si="40"/>
        <v>0.24087134711771796</v>
      </c>
      <c r="J220" s="30">
        <f t="shared" ca="1" si="41"/>
        <v>2.1543324307421541</v>
      </c>
      <c r="K220" s="30">
        <f t="shared" ca="1" si="42"/>
        <v>0.11598058985161995</v>
      </c>
      <c r="L220" s="30">
        <f t="shared" ca="1" si="43"/>
        <v>5.9269605307948412</v>
      </c>
      <c r="M220" s="1">
        <f t="shared" ca="1" si="44"/>
        <v>11.936188559601987</v>
      </c>
    </row>
    <row r="221" spans="1:13" x14ac:dyDescent="0.4">
      <c r="A221" s="1">
        <f t="shared" ca="1" si="48"/>
        <v>5.9269605307948412</v>
      </c>
      <c r="B221" s="30">
        <f t="shared" ca="1" si="45"/>
        <v>11.936188559601987</v>
      </c>
      <c r="C221" s="30">
        <f t="shared" ca="1" si="38"/>
        <v>-0.19967589373426908</v>
      </c>
      <c r="D221" s="30">
        <f t="shared" ca="1" si="49"/>
        <v>5.7272846370605723</v>
      </c>
      <c r="E221" s="30">
        <f t="shared" ca="1" si="46"/>
        <v>12.487816686244514</v>
      </c>
      <c r="F221" s="30">
        <f t="shared" ca="1" si="47"/>
        <v>0.41965785332982042</v>
      </c>
      <c r="G221" s="30">
        <v>219</v>
      </c>
      <c r="H221" s="30">
        <f t="shared" si="39"/>
        <v>0.11068980359934139</v>
      </c>
      <c r="I221" s="30">
        <f t="shared" ca="1" si="40"/>
        <v>0.55162812664252669</v>
      </c>
      <c r="J221" s="30">
        <f t="shared" ca="1" si="41"/>
        <v>4.9835496017250946</v>
      </c>
      <c r="K221" s="30">
        <f t="shared" ca="1" si="42"/>
        <v>6.8497056274583008E-3</v>
      </c>
      <c r="L221" s="30">
        <f t="shared" ca="1" si="43"/>
        <v>5.9269605307948412</v>
      </c>
      <c r="M221" s="1">
        <f t="shared" ca="1" si="44"/>
        <v>11.936188559601987</v>
      </c>
    </row>
    <row r="222" spans="1:13" x14ac:dyDescent="0.4">
      <c r="A222" s="1">
        <f t="shared" ca="1" si="48"/>
        <v>5.9269605307948412</v>
      </c>
      <c r="B222" s="30">
        <f t="shared" ca="1" si="45"/>
        <v>11.936188559601987</v>
      </c>
      <c r="C222" s="30">
        <f t="shared" ca="1" si="38"/>
        <v>-0.16750748362627665</v>
      </c>
      <c r="D222" s="30">
        <f t="shared" ca="1" si="49"/>
        <v>5.7594530471685648</v>
      </c>
      <c r="E222" s="30">
        <f t="shared" ca="1" si="46"/>
        <v>12.336709754400999</v>
      </c>
      <c r="F222" s="30">
        <f t="shared" ca="1" si="47"/>
        <v>6.4194668713435377E-4</v>
      </c>
      <c r="G222" s="30">
        <v>220</v>
      </c>
      <c r="H222" s="30">
        <f t="shared" si="39"/>
        <v>0.10958290556334796</v>
      </c>
      <c r="I222" s="30">
        <f t="shared" ca="1" si="40"/>
        <v>0.40052119479901194</v>
      </c>
      <c r="J222" s="30">
        <f t="shared" ca="1" si="41"/>
        <v>3.6549605318457052</v>
      </c>
      <c r="K222" s="30">
        <f t="shared" ca="1" si="42"/>
        <v>2.5862518208881535E-2</v>
      </c>
      <c r="L222" s="30">
        <f t="shared" ca="1" si="43"/>
        <v>5.7594530471685648</v>
      </c>
      <c r="M222" s="1">
        <f t="shared" ca="1" si="44"/>
        <v>12.336709754400999</v>
      </c>
    </row>
    <row r="223" spans="1:13" x14ac:dyDescent="0.4">
      <c r="A223" s="1">
        <f t="shared" ca="1" si="48"/>
        <v>5.7594530471685648</v>
      </c>
      <c r="B223" s="30">
        <f t="shared" ca="1" si="45"/>
        <v>12.336709754400999</v>
      </c>
      <c r="C223" s="30">
        <f t="shared" ca="1" si="38"/>
        <v>0.39535835801207697</v>
      </c>
      <c r="D223" s="30">
        <f t="shared" ca="1" si="49"/>
        <v>6.1548114051806415</v>
      </c>
      <c r="E223" s="30">
        <f t="shared" ca="1" si="46"/>
        <v>12.723344734166176</v>
      </c>
      <c r="F223" s="30">
        <f t="shared" ca="1" si="47"/>
        <v>0.7852902903146608</v>
      </c>
      <c r="G223" s="30">
        <v>221</v>
      </c>
      <c r="H223" s="30">
        <f t="shared" si="39"/>
        <v>0.10848707650771447</v>
      </c>
      <c r="I223" s="30">
        <f t="shared" ca="1" si="40"/>
        <v>0.38663497976517647</v>
      </c>
      <c r="J223" s="30">
        <f t="shared" ca="1" si="41"/>
        <v>3.5638805303937104</v>
      </c>
      <c r="K223" s="30">
        <f t="shared" ca="1" si="42"/>
        <v>2.8328680837068038E-2</v>
      </c>
      <c r="L223" s="30">
        <f t="shared" ca="1" si="43"/>
        <v>5.7594530471685648</v>
      </c>
      <c r="M223" s="1">
        <f t="shared" ca="1" si="44"/>
        <v>12.336709754400999</v>
      </c>
    </row>
    <row r="224" spans="1:13" x14ac:dyDescent="0.4">
      <c r="A224" s="1">
        <f t="shared" ca="1" si="48"/>
        <v>5.7594530471685648</v>
      </c>
      <c r="B224" s="30">
        <f t="shared" ca="1" si="45"/>
        <v>12.336709754400999</v>
      </c>
      <c r="C224" s="30">
        <f t="shared" ca="1" si="38"/>
        <v>0.60268194396689112</v>
      </c>
      <c r="D224" s="30">
        <f t="shared" ca="1" si="49"/>
        <v>6.3621349911354557</v>
      </c>
      <c r="E224" s="30">
        <f t="shared" ca="1" si="46"/>
        <v>15.219664307230232</v>
      </c>
      <c r="F224" s="30">
        <f t="shared" ca="1" si="47"/>
        <v>0.42088822953928939</v>
      </c>
      <c r="G224" s="30">
        <v>222</v>
      </c>
      <c r="H224" s="30">
        <f t="shared" si="39"/>
        <v>0.10740220574263733</v>
      </c>
      <c r="I224" s="30">
        <f t="shared" ca="1" si="40"/>
        <v>2.8829545528292329</v>
      </c>
      <c r="J224" s="30">
        <f t="shared" ca="1" si="41"/>
        <v>26.842600977278963</v>
      </c>
      <c r="K224" s="30">
        <f t="shared" ca="1" si="42"/>
        <v>2.1999181137516764E-12</v>
      </c>
      <c r="L224" s="30">
        <f t="shared" ca="1" si="43"/>
        <v>5.7594530471685648</v>
      </c>
      <c r="M224" s="1">
        <f t="shared" ca="1" si="44"/>
        <v>12.336709754400999</v>
      </c>
    </row>
    <row r="225" spans="1:13" x14ac:dyDescent="0.4">
      <c r="A225" s="1">
        <f t="shared" ca="1" si="48"/>
        <v>5.7594530471685648</v>
      </c>
      <c r="B225" s="30">
        <f t="shared" ca="1" si="45"/>
        <v>12.336709754400999</v>
      </c>
      <c r="C225" s="30">
        <f t="shared" ca="1" si="38"/>
        <v>0.65383831824145089</v>
      </c>
      <c r="D225" s="30">
        <f t="shared" ca="1" si="49"/>
        <v>6.4132913654100161</v>
      </c>
      <c r="E225" s="30">
        <f t="shared" ca="1" si="46"/>
        <v>16.153468313428448</v>
      </c>
      <c r="F225" s="30">
        <f t="shared" ca="1" si="47"/>
        <v>7.4094942302723954E-2</v>
      </c>
      <c r="G225" s="30">
        <v>223</v>
      </c>
      <c r="H225" s="30">
        <f t="shared" si="39"/>
        <v>0.10632818368521096</v>
      </c>
      <c r="I225" s="30">
        <f t="shared" ca="1" si="40"/>
        <v>3.8167585590274484</v>
      </c>
      <c r="J225" s="30">
        <f t="shared" ca="1" si="41"/>
        <v>35.896019538216905</v>
      </c>
      <c r="K225" s="30">
        <f t="shared" ca="1" si="42"/>
        <v>2.5736933017561217E-16</v>
      </c>
      <c r="L225" s="30">
        <f t="shared" ca="1" si="43"/>
        <v>5.7594530471685648</v>
      </c>
      <c r="M225" s="1">
        <f t="shared" ca="1" si="44"/>
        <v>12.336709754400999</v>
      </c>
    </row>
    <row r="226" spans="1:13" x14ac:dyDescent="0.4">
      <c r="A226" s="1">
        <f t="shared" ca="1" si="48"/>
        <v>5.7594530471685648</v>
      </c>
      <c r="B226" s="30">
        <f t="shared" ca="1" si="45"/>
        <v>12.336709754400999</v>
      </c>
      <c r="C226" s="30">
        <f t="shared" ca="1" si="38"/>
        <v>-0.4121144717873817</v>
      </c>
      <c r="D226" s="30">
        <f t="shared" ca="1" si="49"/>
        <v>5.3473385753811833</v>
      </c>
      <c r="E226" s="30">
        <f t="shared" ca="1" si="46"/>
        <v>15.467498449532059</v>
      </c>
      <c r="F226" s="30">
        <f t="shared" ca="1" si="47"/>
        <v>0.36553840115644753</v>
      </c>
      <c r="G226" s="30">
        <v>224</v>
      </c>
      <c r="H226" s="30">
        <f t="shared" si="39"/>
        <v>0.10526490184835885</v>
      </c>
      <c r="I226" s="30">
        <f t="shared" ca="1" si="40"/>
        <v>3.1307886951310593</v>
      </c>
      <c r="J226" s="30">
        <f t="shared" ca="1" si="41"/>
        <v>29.74199985139558</v>
      </c>
      <c r="K226" s="30">
        <f t="shared" ca="1" si="42"/>
        <v>1.2111936458506787E-13</v>
      </c>
      <c r="L226" s="30">
        <f t="shared" ca="1" si="43"/>
        <v>5.7594530471685648</v>
      </c>
      <c r="M226" s="1">
        <f t="shared" ca="1" si="44"/>
        <v>12.336709754400999</v>
      </c>
    </row>
    <row r="227" spans="1:13" x14ac:dyDescent="0.4">
      <c r="A227" s="1">
        <f t="shared" ca="1" si="48"/>
        <v>5.7594530471685648</v>
      </c>
      <c r="B227" s="30">
        <f t="shared" ca="1" si="45"/>
        <v>12.336709754400999</v>
      </c>
      <c r="C227" s="30">
        <f t="shared" ca="1" si="38"/>
        <v>-0.81737901491706788</v>
      </c>
      <c r="D227" s="30">
        <f t="shared" ca="1" si="49"/>
        <v>4.9420740322514973</v>
      </c>
      <c r="E227" s="30">
        <f t="shared" ca="1" si="46"/>
        <v>19.571782637555089</v>
      </c>
      <c r="F227" s="30">
        <f t="shared" ca="1" si="47"/>
        <v>0.82586624535717035</v>
      </c>
      <c r="G227" s="30">
        <v>225</v>
      </c>
      <c r="H227" s="30">
        <f t="shared" si="39"/>
        <v>0.10421225282987526</v>
      </c>
      <c r="I227" s="30">
        <f t="shared" ca="1" si="40"/>
        <v>7.2350728831540891</v>
      </c>
      <c r="J227" s="30">
        <f t="shared" ca="1" si="41"/>
        <v>69.42631683594081</v>
      </c>
      <c r="K227" s="30">
        <f t="shared" ca="1" si="42"/>
        <v>7.0555959015401791E-31</v>
      </c>
      <c r="L227" s="30">
        <f t="shared" ca="1" si="43"/>
        <v>5.7594530471685648</v>
      </c>
      <c r="M227" s="1">
        <f t="shared" ca="1" si="44"/>
        <v>12.336709754400999</v>
      </c>
    </row>
    <row r="228" spans="1:13" x14ac:dyDescent="0.4">
      <c r="A228" s="1">
        <f t="shared" ca="1" si="48"/>
        <v>5.7594530471685648</v>
      </c>
      <c r="B228" s="30">
        <f t="shared" ca="1" si="45"/>
        <v>12.336709754400999</v>
      </c>
      <c r="C228" s="30">
        <f t="shared" ca="1" si="38"/>
        <v>-0.46814058955400806</v>
      </c>
      <c r="D228" s="30">
        <f t="shared" ca="1" si="49"/>
        <v>5.2913124576145565</v>
      </c>
      <c r="E228" s="30">
        <f t="shared" ca="1" si="46"/>
        <v>16.023237783592322</v>
      </c>
      <c r="F228" s="30">
        <f t="shared" ca="1" si="47"/>
        <v>0.50599066794923842</v>
      </c>
      <c r="G228" s="30">
        <v>226</v>
      </c>
      <c r="H228" s="30">
        <f t="shared" si="39"/>
        <v>0.10317013030157651</v>
      </c>
      <c r="I228" s="30">
        <f t="shared" ca="1" si="40"/>
        <v>3.6865280291913223</v>
      </c>
      <c r="J228" s="30">
        <f t="shared" ca="1" si="41"/>
        <v>35.732513067641143</v>
      </c>
      <c r="K228" s="30">
        <f t="shared" ca="1" si="42"/>
        <v>3.0308661000093162E-16</v>
      </c>
      <c r="L228" s="30">
        <f t="shared" ca="1" si="43"/>
        <v>5.7594530471685648</v>
      </c>
      <c r="M228" s="1">
        <f t="shared" ca="1" si="44"/>
        <v>12.336709754400999</v>
      </c>
    </row>
    <row r="229" spans="1:13" x14ac:dyDescent="0.4">
      <c r="A229" s="1">
        <f t="shared" ca="1" si="48"/>
        <v>5.7594530471685648</v>
      </c>
      <c r="B229" s="30">
        <f t="shared" ca="1" si="45"/>
        <v>12.336709754400999</v>
      </c>
      <c r="C229" s="30">
        <f t="shared" ca="1" si="38"/>
        <v>0.58423919941327207</v>
      </c>
      <c r="D229" s="30">
        <f t="shared" ca="1" si="49"/>
        <v>6.3436922465818366</v>
      </c>
      <c r="E229" s="30">
        <f t="shared" ca="1" si="46"/>
        <v>14.916115037748341</v>
      </c>
      <c r="F229" s="30">
        <f t="shared" ca="1" si="47"/>
        <v>0.776334065680646</v>
      </c>
      <c r="G229" s="30">
        <v>227</v>
      </c>
      <c r="H229" s="30">
        <f t="shared" si="39"/>
        <v>0.10213842899856074</v>
      </c>
      <c r="I229" s="30">
        <f t="shared" ca="1" si="40"/>
        <v>2.5794052833473415</v>
      </c>
      <c r="J229" s="30">
        <f t="shared" ca="1" si="41"/>
        <v>25.254013681605468</v>
      </c>
      <c r="K229" s="30">
        <f t="shared" ca="1" si="42"/>
        <v>1.0772616815632869E-11</v>
      </c>
      <c r="L229" s="30">
        <f t="shared" ca="1" si="43"/>
        <v>5.7594530471685648</v>
      </c>
      <c r="M229" s="1">
        <f t="shared" ca="1" si="44"/>
        <v>12.336709754400999</v>
      </c>
    </row>
    <row r="230" spans="1:13" x14ac:dyDescent="0.4">
      <c r="A230" s="1">
        <f t="shared" ca="1" si="48"/>
        <v>5.7594530471685648</v>
      </c>
      <c r="B230" s="30">
        <f t="shared" ca="1" si="45"/>
        <v>12.336709754400999</v>
      </c>
      <c r="C230" s="30">
        <f t="shared" ca="1" si="38"/>
        <v>-0.53241682156453218</v>
      </c>
      <c r="D230" s="30">
        <f t="shared" ca="1" si="49"/>
        <v>5.2270362256040324</v>
      </c>
      <c r="E230" s="30">
        <f t="shared" ca="1" si="46"/>
        <v>16.676014517273757</v>
      </c>
      <c r="F230" s="30">
        <f t="shared" ca="1" si="47"/>
        <v>0.1066670273083189</v>
      </c>
      <c r="G230" s="30">
        <v>228</v>
      </c>
      <c r="H230" s="30">
        <f t="shared" si="39"/>
        <v>0.10111704470857513</v>
      </c>
      <c r="I230" s="30">
        <f t="shared" ca="1" si="40"/>
        <v>4.3393047628727572</v>
      </c>
      <c r="J230" s="30">
        <f t="shared" ca="1" si="41"/>
        <v>42.913682607901286</v>
      </c>
      <c r="K230" s="30">
        <f t="shared" ca="1" si="42"/>
        <v>2.3058149212694488E-19</v>
      </c>
      <c r="L230" s="30">
        <f t="shared" ca="1" si="43"/>
        <v>5.7594530471685648</v>
      </c>
      <c r="M230" s="1">
        <f t="shared" ca="1" si="44"/>
        <v>12.336709754400999</v>
      </c>
    </row>
    <row r="231" spans="1:13" x14ac:dyDescent="0.4">
      <c r="A231" s="1">
        <f t="shared" ca="1" si="48"/>
        <v>5.7594530471685648</v>
      </c>
      <c r="B231" s="30">
        <f t="shared" ca="1" si="45"/>
        <v>12.336709754400999</v>
      </c>
      <c r="C231" s="30">
        <f t="shared" ca="1" si="38"/>
        <v>0.45893301950610521</v>
      </c>
      <c r="D231" s="30">
        <f t="shared" ca="1" si="49"/>
        <v>6.21838606667467</v>
      </c>
      <c r="E231" s="30">
        <f t="shared" ca="1" si="46"/>
        <v>13.285449265979196</v>
      </c>
      <c r="F231" s="30">
        <f t="shared" ca="1" si="47"/>
        <v>0.21108367859568067</v>
      </c>
      <c r="G231" s="30">
        <v>229</v>
      </c>
      <c r="H231" s="30">
        <f t="shared" si="39"/>
        <v>0.10010587426148938</v>
      </c>
      <c r="I231" s="30">
        <f t="shared" ca="1" si="40"/>
        <v>0.94873951157819647</v>
      </c>
      <c r="J231" s="30">
        <f t="shared" ca="1" si="41"/>
        <v>9.4773610297829993</v>
      </c>
      <c r="K231" s="30">
        <f t="shared" ca="1" si="42"/>
        <v>7.6565725450235145E-5</v>
      </c>
      <c r="L231" s="30">
        <f t="shared" ca="1" si="43"/>
        <v>5.7594530471685648</v>
      </c>
      <c r="M231" s="1">
        <f t="shared" ca="1" si="44"/>
        <v>12.336709754400999</v>
      </c>
    </row>
    <row r="232" spans="1:13" x14ac:dyDescent="0.4">
      <c r="A232" s="1">
        <f t="shared" ca="1" si="48"/>
        <v>5.7594530471685648</v>
      </c>
      <c r="B232" s="30">
        <f t="shared" ca="1" si="45"/>
        <v>12.336709754400999</v>
      </c>
      <c r="C232" s="30">
        <f t="shared" ca="1" si="38"/>
        <v>-0.72769955268784781</v>
      </c>
      <c r="D232" s="30">
        <f t="shared" ca="1" si="49"/>
        <v>5.031753494480717</v>
      </c>
      <c r="E232" s="30">
        <f t="shared" ca="1" si="46"/>
        <v>18.680577569220873</v>
      </c>
      <c r="F232" s="30">
        <f t="shared" ca="1" si="47"/>
        <v>0.85729709346043304</v>
      </c>
      <c r="G232" s="30">
        <v>230</v>
      </c>
      <c r="H232" s="30">
        <f t="shared" si="39"/>
        <v>9.9104815518874484E-2</v>
      </c>
      <c r="I232" s="30">
        <f t="shared" ca="1" si="40"/>
        <v>6.3438678148198733</v>
      </c>
      <c r="J232" s="30">
        <f t="shared" ca="1" si="41"/>
        <v>64.011700961308847</v>
      </c>
      <c r="K232" s="30">
        <f t="shared" ca="1" si="42"/>
        <v>1.5851541252774526E-28</v>
      </c>
      <c r="L232" s="30">
        <f t="shared" ca="1" si="43"/>
        <v>5.7594530471685648</v>
      </c>
      <c r="M232" s="1">
        <f t="shared" ca="1" si="44"/>
        <v>12.336709754400999</v>
      </c>
    </row>
    <row r="233" spans="1:13" x14ac:dyDescent="0.4">
      <c r="A233" s="1">
        <f t="shared" ca="1" si="48"/>
        <v>5.7594530471685648</v>
      </c>
      <c r="B233" s="30">
        <f t="shared" ca="1" si="45"/>
        <v>12.336709754400999</v>
      </c>
      <c r="C233" s="30">
        <f t="shared" ca="1" si="38"/>
        <v>0.90272576902718238</v>
      </c>
      <c r="D233" s="30">
        <f t="shared" ca="1" si="49"/>
        <v>6.6621788161957474</v>
      </c>
      <c r="E233" s="30">
        <f t="shared" ca="1" si="46"/>
        <v>22.855137079831366</v>
      </c>
      <c r="F233" s="30">
        <f t="shared" ca="1" si="47"/>
        <v>0.17547859873016802</v>
      </c>
      <c r="G233" s="30">
        <v>231</v>
      </c>
      <c r="H233" s="30">
        <f t="shared" si="39"/>
        <v>9.8113767363685739E-2</v>
      </c>
      <c r="I233" s="30">
        <f t="shared" ca="1" si="40"/>
        <v>10.518427325430366</v>
      </c>
      <c r="J233" s="30">
        <f t="shared" ca="1" si="41"/>
        <v>107.20643603910258</v>
      </c>
      <c r="K233" s="30">
        <f t="shared" ca="1" si="42"/>
        <v>2.7595381578575547E-47</v>
      </c>
      <c r="L233" s="30">
        <f t="shared" ca="1" si="43"/>
        <v>5.7594530471685648</v>
      </c>
      <c r="M233" s="1">
        <f t="shared" ca="1" si="44"/>
        <v>12.336709754400999</v>
      </c>
    </row>
    <row r="234" spans="1:13" x14ac:dyDescent="0.4">
      <c r="A234" s="1">
        <f t="shared" ca="1" si="48"/>
        <v>5.7594530471685648</v>
      </c>
      <c r="B234" s="30">
        <f t="shared" ca="1" si="45"/>
        <v>12.336709754400999</v>
      </c>
      <c r="C234" s="30">
        <f t="shared" ca="1" si="38"/>
        <v>0.41790889404517673</v>
      </c>
      <c r="D234" s="30">
        <f t="shared" ca="1" si="49"/>
        <v>6.177361941213741</v>
      </c>
      <c r="E234" s="30">
        <f t="shared" ca="1" si="46"/>
        <v>12.903664135602412</v>
      </c>
      <c r="F234" s="30">
        <f t="shared" ca="1" si="47"/>
        <v>0.38180134957419809</v>
      </c>
      <c r="G234" s="30">
        <v>232</v>
      </c>
      <c r="H234" s="30">
        <f t="shared" si="39"/>
        <v>9.7132629690048877E-2</v>
      </c>
      <c r="I234" s="30">
        <f t="shared" ca="1" si="40"/>
        <v>0.56695438120141262</v>
      </c>
      <c r="J234" s="30">
        <f t="shared" ca="1" si="41"/>
        <v>5.8369096256383601</v>
      </c>
      <c r="K234" s="30">
        <f t="shared" ca="1" si="42"/>
        <v>2.9178459431304952E-3</v>
      </c>
      <c r="L234" s="30">
        <f t="shared" ca="1" si="43"/>
        <v>5.7594530471685648</v>
      </c>
      <c r="M234" s="1">
        <f t="shared" ca="1" si="44"/>
        <v>12.336709754400999</v>
      </c>
    </row>
    <row r="235" spans="1:13" x14ac:dyDescent="0.4">
      <c r="A235" s="1">
        <f t="shared" ca="1" si="48"/>
        <v>5.7594530471685648</v>
      </c>
      <c r="B235" s="30">
        <f t="shared" ca="1" si="45"/>
        <v>12.336709754400999</v>
      </c>
      <c r="C235" s="30">
        <f t="shared" ca="1" si="38"/>
        <v>0.61217969594748589</v>
      </c>
      <c r="D235" s="30">
        <f t="shared" ca="1" si="49"/>
        <v>6.3716327431160504</v>
      </c>
      <c r="E235" s="30">
        <f t="shared" ca="1" si="46"/>
        <v>15.38272668620607</v>
      </c>
      <c r="F235" s="30">
        <f t="shared" ca="1" si="47"/>
        <v>0.14902067353343873</v>
      </c>
      <c r="G235" s="30">
        <v>233</v>
      </c>
      <c r="H235" s="30">
        <f t="shared" si="39"/>
        <v>9.6161303393148378E-2</v>
      </c>
      <c r="I235" s="30">
        <f t="shared" ca="1" si="40"/>
        <v>3.0460169318050703</v>
      </c>
      <c r="J235" s="30">
        <f t="shared" ca="1" si="41"/>
        <v>31.676119440183285</v>
      </c>
      <c r="K235" s="30">
        <f t="shared" ca="1" si="42"/>
        <v>1.7507983111769479E-14</v>
      </c>
      <c r="L235" s="30">
        <f t="shared" ca="1" si="43"/>
        <v>5.7594530471685648</v>
      </c>
      <c r="M235" s="1">
        <f t="shared" ca="1" si="44"/>
        <v>12.336709754400999</v>
      </c>
    </row>
    <row r="236" spans="1:13" x14ac:dyDescent="0.4">
      <c r="A236" s="1">
        <f t="shared" ca="1" si="48"/>
        <v>5.7594530471685648</v>
      </c>
      <c r="B236" s="30">
        <f t="shared" ca="1" si="45"/>
        <v>12.336709754400999</v>
      </c>
      <c r="C236" s="30">
        <f t="shared" ca="1" si="38"/>
        <v>-0.40092633246419784</v>
      </c>
      <c r="D236" s="30">
        <f t="shared" ca="1" si="49"/>
        <v>5.3585267147043671</v>
      </c>
      <c r="E236" s="30">
        <f t="shared" ca="1" si="46"/>
        <v>15.358515046259754</v>
      </c>
      <c r="F236" s="30">
        <f t="shared" ca="1" si="47"/>
        <v>4.3398046507234889E-2</v>
      </c>
      <c r="G236" s="30">
        <v>234</v>
      </c>
      <c r="H236" s="30">
        <f t="shared" si="39"/>
        <v>9.5199690359216896E-2</v>
      </c>
      <c r="I236" s="30">
        <f t="shared" ca="1" si="40"/>
        <v>3.0218052918587546</v>
      </c>
      <c r="J236" s="30">
        <f t="shared" ca="1" si="41"/>
        <v>31.741755466394689</v>
      </c>
      <c r="K236" s="30">
        <f t="shared" ca="1" si="42"/>
        <v>1.6395729892453438E-14</v>
      </c>
      <c r="L236" s="30">
        <f t="shared" ca="1" si="43"/>
        <v>5.7594530471685648</v>
      </c>
      <c r="M236" s="1">
        <f t="shared" ca="1" si="44"/>
        <v>12.336709754400999</v>
      </c>
    </row>
    <row r="237" spans="1:13" x14ac:dyDescent="0.4">
      <c r="A237" s="1">
        <f t="shared" ca="1" si="48"/>
        <v>5.7594530471685648</v>
      </c>
      <c r="B237" s="30">
        <f t="shared" ca="1" si="45"/>
        <v>12.336709754400999</v>
      </c>
      <c r="C237" s="30">
        <f t="shared" ca="1" si="38"/>
        <v>-0.13611844313986543</v>
      </c>
      <c r="D237" s="30">
        <f t="shared" ca="1" si="49"/>
        <v>5.6233346040286989</v>
      </c>
      <c r="E237" s="30">
        <f t="shared" ca="1" si="46"/>
        <v>13.109306658365313</v>
      </c>
      <c r="F237" s="30">
        <f t="shared" ca="1" si="47"/>
        <v>0.93376809046460596</v>
      </c>
      <c r="G237" s="30">
        <v>235</v>
      </c>
      <c r="H237" s="30">
        <f t="shared" si="39"/>
        <v>9.4247693455624712E-2</v>
      </c>
      <c r="I237" s="30">
        <f t="shared" ca="1" si="40"/>
        <v>0.77259690396431324</v>
      </c>
      <c r="J237" s="30">
        <f t="shared" ca="1" si="41"/>
        <v>8.1975152455914522</v>
      </c>
      <c r="K237" s="30">
        <f t="shared" ca="1" si="42"/>
        <v>2.7533686519981305E-4</v>
      </c>
      <c r="L237" s="30">
        <f t="shared" ca="1" si="43"/>
        <v>5.7594530471685648</v>
      </c>
      <c r="M237" s="1">
        <f t="shared" ca="1" si="44"/>
        <v>12.336709754400999</v>
      </c>
    </row>
    <row r="238" spans="1:13" x14ac:dyDescent="0.4">
      <c r="A238" s="1">
        <f t="shared" ca="1" si="48"/>
        <v>5.7594530471685648</v>
      </c>
      <c r="B238" s="30">
        <f t="shared" ca="1" si="45"/>
        <v>12.336709754400999</v>
      </c>
      <c r="C238" s="30">
        <f t="shared" ca="1" si="38"/>
        <v>0.94977498547888772</v>
      </c>
      <c r="D238" s="30">
        <f t="shared" ca="1" si="49"/>
        <v>6.7092280326474523</v>
      </c>
      <c r="E238" s="30">
        <f t="shared" ca="1" si="46"/>
        <v>24.57349851191816</v>
      </c>
      <c r="F238" s="30">
        <f t="shared" ca="1" si="47"/>
        <v>0.97340866474875587</v>
      </c>
      <c r="G238" s="30">
        <v>236</v>
      </c>
      <c r="H238" s="30">
        <f t="shared" si="39"/>
        <v>9.330521652106849E-2</v>
      </c>
      <c r="I238" s="30">
        <f t="shared" ca="1" si="40"/>
        <v>12.236788757517161</v>
      </c>
      <c r="J238" s="30">
        <f t="shared" ca="1" si="41"/>
        <v>131.14795950078602</v>
      </c>
      <c r="K238" s="30">
        <f t="shared" ca="1" si="42"/>
        <v>1.1044978528502805E-57</v>
      </c>
      <c r="L238" s="30">
        <f t="shared" ca="1" si="43"/>
        <v>5.7594530471685648</v>
      </c>
      <c r="M238" s="1">
        <f t="shared" ca="1" si="44"/>
        <v>12.336709754400999</v>
      </c>
    </row>
    <row r="239" spans="1:13" x14ac:dyDescent="0.4">
      <c r="A239" s="1">
        <f t="shared" ca="1" si="48"/>
        <v>5.7594530471685648</v>
      </c>
      <c r="B239" s="30">
        <f t="shared" ca="1" si="45"/>
        <v>12.336709754400999</v>
      </c>
      <c r="C239" s="30">
        <f t="shared" ca="1" si="38"/>
        <v>0.48361817855643063</v>
      </c>
      <c r="D239" s="30">
        <f t="shared" ca="1" si="49"/>
        <v>6.2430712257249956</v>
      </c>
      <c r="E239" s="30">
        <f t="shared" ca="1" si="46"/>
        <v>13.549863483078298</v>
      </c>
      <c r="F239" s="30">
        <f t="shared" ca="1" si="47"/>
        <v>0.38375524337291977</v>
      </c>
      <c r="G239" s="30">
        <v>237</v>
      </c>
      <c r="H239" s="30">
        <f t="shared" si="39"/>
        <v>9.237216435585778E-2</v>
      </c>
      <c r="I239" s="30">
        <f t="shared" ca="1" si="40"/>
        <v>1.2131537286772982</v>
      </c>
      <c r="J239" s="30">
        <f t="shared" ca="1" si="41"/>
        <v>13.133325792862253</v>
      </c>
      <c r="K239" s="30">
        <f t="shared" ca="1" si="42"/>
        <v>1.978194905703225E-6</v>
      </c>
      <c r="L239" s="30">
        <f t="shared" ca="1" si="43"/>
        <v>5.7594530471685648</v>
      </c>
      <c r="M239" s="1">
        <f t="shared" ca="1" si="44"/>
        <v>12.336709754400999</v>
      </c>
    </row>
    <row r="240" spans="1:13" x14ac:dyDescent="0.4">
      <c r="A240" s="1">
        <f t="shared" ca="1" si="48"/>
        <v>5.7594530471685648</v>
      </c>
      <c r="B240" s="30">
        <f t="shared" ca="1" si="45"/>
        <v>12.336709754400999</v>
      </c>
      <c r="C240" s="30">
        <f t="shared" ca="1" si="38"/>
        <v>0.15191450409070617</v>
      </c>
      <c r="D240" s="30">
        <f t="shared" ca="1" si="49"/>
        <v>5.9113675512592714</v>
      </c>
      <c r="E240" s="30">
        <f t="shared" ca="1" si="46"/>
        <v>11.942918023031098</v>
      </c>
      <c r="F240" s="30">
        <f t="shared" ca="1" si="47"/>
        <v>0.75157119403966177</v>
      </c>
      <c r="G240" s="30">
        <v>238</v>
      </c>
      <c r="H240" s="30">
        <f t="shared" si="39"/>
        <v>9.1448442712299211E-2</v>
      </c>
      <c r="I240" s="30">
        <f t="shared" ca="1" si="40"/>
        <v>-0.39379173136990175</v>
      </c>
      <c r="J240" s="30">
        <f t="shared" ca="1" si="41"/>
        <v>-4.3061611514674745</v>
      </c>
      <c r="K240" s="30">
        <f t="shared" ca="1" si="42"/>
        <v>0</v>
      </c>
      <c r="L240" s="30">
        <f t="shared" ca="1" si="43"/>
        <v>5.9113675512592714</v>
      </c>
      <c r="M240" s="1">
        <f t="shared" ca="1" si="44"/>
        <v>11.942918023031098</v>
      </c>
    </row>
    <row r="241" spans="1:13" x14ac:dyDescent="0.4">
      <c r="A241" s="1">
        <f t="shared" ca="1" si="48"/>
        <v>5.9113675512592714</v>
      </c>
      <c r="B241" s="30">
        <f t="shared" ca="1" si="45"/>
        <v>11.942918023031098</v>
      </c>
      <c r="C241" s="30">
        <f t="shared" ca="1" si="38"/>
        <v>-0.11316100852871536</v>
      </c>
      <c r="D241" s="30">
        <f t="shared" ca="1" si="49"/>
        <v>5.798206542730556</v>
      </c>
      <c r="E241" s="30">
        <f t="shared" ca="1" si="46"/>
        <v>12.183863638749926</v>
      </c>
      <c r="F241" s="30">
        <f t="shared" ca="1" si="47"/>
        <v>0.96112197583689607</v>
      </c>
      <c r="G241" s="30">
        <v>239</v>
      </c>
      <c r="H241" s="30">
        <f t="shared" si="39"/>
        <v>9.0533958285176228E-2</v>
      </c>
      <c r="I241" s="30">
        <f t="shared" ca="1" si="40"/>
        <v>0.24094561571882878</v>
      </c>
      <c r="J241" s="30">
        <f t="shared" ca="1" si="41"/>
        <v>2.6613838639404825</v>
      </c>
      <c r="K241" s="30">
        <f t="shared" ca="1" si="42"/>
        <v>6.9851489870195974E-2</v>
      </c>
      <c r="L241" s="30">
        <f t="shared" ca="1" si="43"/>
        <v>5.9113675512592714</v>
      </c>
      <c r="M241" s="1">
        <f t="shared" ca="1" si="44"/>
        <v>11.942918023031098</v>
      </c>
    </row>
    <row r="242" spans="1:13" x14ac:dyDescent="0.4">
      <c r="A242" s="1">
        <f t="shared" ca="1" si="48"/>
        <v>5.9113675512592714</v>
      </c>
      <c r="B242" s="30">
        <f t="shared" ca="1" si="45"/>
        <v>11.942918023031098</v>
      </c>
      <c r="C242" s="30">
        <f t="shared" ca="1" si="38"/>
        <v>0.62859733741897994</v>
      </c>
      <c r="D242" s="30">
        <f t="shared" ca="1" si="49"/>
        <v>6.5399648886782513</v>
      </c>
      <c r="E242" s="30">
        <f t="shared" ca="1" si="46"/>
        <v>19.089397813424512</v>
      </c>
      <c r="F242" s="30">
        <f t="shared" ca="1" si="47"/>
        <v>0.61205753845672983</v>
      </c>
      <c r="G242" s="30">
        <v>240</v>
      </c>
      <c r="H242" s="30">
        <f t="shared" si="39"/>
        <v>8.9628618702324456E-2</v>
      </c>
      <c r="I242" s="30">
        <f t="shared" ca="1" si="40"/>
        <v>7.1464797903934141</v>
      </c>
      <c r="J242" s="30">
        <f t="shared" ca="1" si="41"/>
        <v>79.734351525915855</v>
      </c>
      <c r="K242" s="30">
        <f t="shared" ca="1" si="42"/>
        <v>2.3540252351039094E-35</v>
      </c>
      <c r="L242" s="30">
        <f t="shared" ca="1" si="43"/>
        <v>5.9113675512592714</v>
      </c>
      <c r="M242" s="1">
        <f t="shared" ca="1" si="44"/>
        <v>11.942918023031098</v>
      </c>
    </row>
    <row r="243" spans="1:13" x14ac:dyDescent="0.4">
      <c r="A243" s="1">
        <f t="shared" ca="1" si="48"/>
        <v>5.9113675512592714</v>
      </c>
      <c r="B243" s="30">
        <f t="shared" ca="1" si="45"/>
        <v>11.942918023031098</v>
      </c>
      <c r="C243" s="30">
        <f t="shared" ca="1" si="38"/>
        <v>0.19020663493002066</v>
      </c>
      <c r="D243" s="30">
        <f t="shared" ca="1" si="49"/>
        <v>6.1015741861892918</v>
      </c>
      <c r="E243" s="30">
        <f t="shared" ca="1" si="46"/>
        <v>12.376715647415949</v>
      </c>
      <c r="F243" s="30">
        <f t="shared" ca="1" si="47"/>
        <v>0.63818223342673908</v>
      </c>
      <c r="G243" s="30">
        <v>241</v>
      </c>
      <c r="H243" s="30">
        <f t="shared" si="39"/>
        <v>8.8732332515301215E-2</v>
      </c>
      <c r="I243" s="30">
        <f t="shared" ca="1" si="40"/>
        <v>0.43379762438485159</v>
      </c>
      <c r="J243" s="30">
        <f t="shared" ca="1" si="41"/>
        <v>4.8888337778120112</v>
      </c>
      <c r="K243" s="30">
        <f t="shared" ca="1" si="42"/>
        <v>7.5301992416040679E-3</v>
      </c>
      <c r="L243" s="30">
        <f t="shared" ca="1" si="43"/>
        <v>5.9113675512592714</v>
      </c>
      <c r="M243" s="1">
        <f t="shared" ca="1" si="44"/>
        <v>11.942918023031098</v>
      </c>
    </row>
    <row r="244" spans="1:13" x14ac:dyDescent="0.4">
      <c r="A244" s="1">
        <f t="shared" ca="1" si="48"/>
        <v>5.9113675512592714</v>
      </c>
      <c r="B244" s="30">
        <f t="shared" ca="1" si="45"/>
        <v>11.942918023031098</v>
      </c>
      <c r="C244" s="30">
        <f t="shared" ca="1" si="38"/>
        <v>0.83772013318418881</v>
      </c>
      <c r="D244" s="30">
        <f t="shared" ca="1" si="49"/>
        <v>6.7490876844434604</v>
      </c>
      <c r="E244" s="30">
        <f t="shared" ca="1" si="46"/>
        <v>26.153861352610875</v>
      </c>
      <c r="F244" s="30">
        <f t="shared" ca="1" si="47"/>
        <v>0.17096575482240872</v>
      </c>
      <c r="G244" s="30">
        <v>242</v>
      </c>
      <c r="H244" s="30">
        <f t="shared" si="39"/>
        <v>8.7845009190148204E-2</v>
      </c>
      <c r="I244" s="30">
        <f t="shared" ca="1" si="40"/>
        <v>14.210943329579777</v>
      </c>
      <c r="J244" s="30">
        <f t="shared" ca="1" si="41"/>
        <v>161.77291641940576</v>
      </c>
      <c r="K244" s="30">
        <f t="shared" ca="1" si="42"/>
        <v>5.5324191720291495E-71</v>
      </c>
      <c r="L244" s="30">
        <f t="shared" ca="1" si="43"/>
        <v>5.9113675512592714</v>
      </c>
      <c r="M244" s="1">
        <f t="shared" ca="1" si="44"/>
        <v>11.942918023031098</v>
      </c>
    </row>
    <row r="245" spans="1:13" x14ac:dyDescent="0.4">
      <c r="A245" s="1">
        <f t="shared" ca="1" si="48"/>
        <v>5.9113675512592714</v>
      </c>
      <c r="B245" s="30">
        <f t="shared" ca="1" si="45"/>
        <v>11.942918023031098</v>
      </c>
      <c r="C245" s="30">
        <f t="shared" ca="1" si="38"/>
        <v>0.58860732259465953</v>
      </c>
      <c r="D245" s="30">
        <f t="shared" ca="1" si="49"/>
        <v>6.4999748738539314</v>
      </c>
      <c r="E245" s="30">
        <f t="shared" ca="1" si="46"/>
        <v>18.061884428044777</v>
      </c>
      <c r="F245" s="30">
        <f t="shared" ca="1" si="47"/>
        <v>0.76411978875843922</v>
      </c>
      <c r="G245" s="30">
        <v>243</v>
      </c>
      <c r="H245" s="30">
        <f t="shared" si="39"/>
        <v>8.6966559098246701E-2</v>
      </c>
      <c r="I245" s="30">
        <f t="shared" ca="1" si="40"/>
        <v>6.1189664050136798</v>
      </c>
      <c r="J245" s="30">
        <f t="shared" ca="1" si="41"/>
        <v>70.359992029821981</v>
      </c>
      <c r="K245" s="30">
        <f t="shared" ca="1" si="42"/>
        <v>2.7735992722206528E-31</v>
      </c>
      <c r="L245" s="30">
        <f t="shared" ca="1" si="43"/>
        <v>5.9113675512592714</v>
      </c>
      <c r="M245" s="1">
        <f t="shared" ca="1" si="44"/>
        <v>11.942918023031098</v>
      </c>
    </row>
    <row r="246" spans="1:13" x14ac:dyDescent="0.4">
      <c r="A246" s="1">
        <f t="shared" ca="1" si="48"/>
        <v>5.9113675512592714</v>
      </c>
      <c r="B246" s="30">
        <f t="shared" ca="1" si="45"/>
        <v>11.942918023031098</v>
      </c>
      <c r="C246" s="30">
        <f t="shared" ca="1" si="38"/>
        <v>0.75459394089512477</v>
      </c>
      <c r="D246" s="30">
        <f t="shared" ca="1" si="49"/>
        <v>6.6659614921543966</v>
      </c>
      <c r="E246" s="30">
        <f t="shared" ca="1" si="46"/>
        <v>22.987551218200906</v>
      </c>
      <c r="F246" s="30">
        <f t="shared" ca="1" si="47"/>
        <v>0.94691382718593364</v>
      </c>
      <c r="G246" s="30">
        <v>244</v>
      </c>
      <c r="H246" s="30">
        <f t="shared" si="39"/>
        <v>8.6096893507264252E-2</v>
      </c>
      <c r="I246" s="30">
        <f t="shared" ca="1" si="40"/>
        <v>11.044633195169808</v>
      </c>
      <c r="J246" s="30">
        <f t="shared" ca="1" si="41"/>
        <v>128.28143670756182</v>
      </c>
      <c r="K246" s="30">
        <f t="shared" ca="1" si="42"/>
        <v>1.9412430204888382E-56</v>
      </c>
      <c r="L246" s="30">
        <f t="shared" ca="1" si="43"/>
        <v>5.9113675512592714</v>
      </c>
      <c r="M246" s="1">
        <f t="shared" ca="1" si="44"/>
        <v>11.942918023031098</v>
      </c>
    </row>
    <row r="247" spans="1:13" x14ac:dyDescent="0.4">
      <c r="A247" s="1">
        <f t="shared" ca="1" si="48"/>
        <v>5.9113675512592714</v>
      </c>
      <c r="B247" s="30">
        <f t="shared" ca="1" si="45"/>
        <v>11.942918023031098</v>
      </c>
      <c r="C247" s="30">
        <f t="shared" ca="1" si="38"/>
        <v>0.19359901834475912</v>
      </c>
      <c r="D247" s="30">
        <f t="shared" ca="1" si="49"/>
        <v>6.1049665696040307</v>
      </c>
      <c r="E247" s="30">
        <f t="shared" ca="1" si="46"/>
        <v>12.395594383991238</v>
      </c>
      <c r="F247" s="30">
        <f t="shared" ca="1" si="47"/>
        <v>0.78844786784859011</v>
      </c>
      <c r="G247" s="30">
        <v>245</v>
      </c>
      <c r="H247" s="30">
        <f t="shared" si="39"/>
        <v>8.5235924572191604E-2</v>
      </c>
      <c r="I247" s="30">
        <f t="shared" ca="1" si="40"/>
        <v>0.4526763609601403</v>
      </c>
      <c r="J247" s="30">
        <f t="shared" ca="1" si="41"/>
        <v>5.3108635030613245</v>
      </c>
      <c r="K247" s="30">
        <f t="shared" ca="1" si="42"/>
        <v>4.9376611907430909E-3</v>
      </c>
      <c r="L247" s="30">
        <f t="shared" ca="1" si="43"/>
        <v>5.9113675512592714</v>
      </c>
      <c r="M247" s="1">
        <f t="shared" ca="1" si="44"/>
        <v>11.942918023031098</v>
      </c>
    </row>
    <row r="248" spans="1:13" x14ac:dyDescent="0.4">
      <c r="A248" s="1">
        <f t="shared" ca="1" si="48"/>
        <v>5.9113675512592714</v>
      </c>
      <c r="B248" s="30">
        <f t="shared" ca="1" si="45"/>
        <v>11.942918023031098</v>
      </c>
      <c r="C248" s="30">
        <f t="shared" ca="1" si="38"/>
        <v>-0.99492141047240445</v>
      </c>
      <c r="D248" s="30">
        <f t="shared" ca="1" si="49"/>
        <v>4.9164461407868671</v>
      </c>
      <c r="E248" s="30">
        <f t="shared" ca="1" si="46"/>
        <v>19.819291594521701</v>
      </c>
      <c r="F248" s="30">
        <f t="shared" ca="1" si="47"/>
        <v>0.36774310378151942</v>
      </c>
      <c r="G248" s="30">
        <v>246</v>
      </c>
      <c r="H248" s="30">
        <f t="shared" si="39"/>
        <v>8.4383565326469692E-2</v>
      </c>
      <c r="I248" s="30">
        <f t="shared" ca="1" si="40"/>
        <v>7.8763735714906034</v>
      </c>
      <c r="J248" s="30">
        <f t="shared" ca="1" si="41"/>
        <v>93.340137276943409</v>
      </c>
      <c r="K248" s="30">
        <f t="shared" ca="1" si="42"/>
        <v>2.9033102043577184E-41</v>
      </c>
      <c r="L248" s="30">
        <f t="shared" ca="1" si="43"/>
        <v>5.9113675512592714</v>
      </c>
      <c r="M248" s="1">
        <f t="shared" ca="1" si="44"/>
        <v>11.942918023031098</v>
      </c>
    </row>
    <row r="249" spans="1:13" x14ac:dyDescent="0.4">
      <c r="A249" s="1">
        <f t="shared" ca="1" si="48"/>
        <v>5.9113675512592714</v>
      </c>
      <c r="B249" s="30">
        <f t="shared" ca="1" si="45"/>
        <v>11.942918023031098</v>
      </c>
      <c r="C249" s="30">
        <f t="shared" ca="1" si="38"/>
        <v>-6.9610303847143395E-2</v>
      </c>
      <c r="D249" s="30">
        <f t="shared" ca="1" si="49"/>
        <v>5.8417572474121275</v>
      </c>
      <c r="E249" s="30">
        <f t="shared" ca="1" si="46"/>
        <v>12.053093673481953</v>
      </c>
      <c r="F249" s="30">
        <f t="shared" ca="1" si="47"/>
        <v>0.91417627946789226</v>
      </c>
      <c r="G249" s="30">
        <v>247</v>
      </c>
      <c r="H249" s="30">
        <f t="shared" si="39"/>
        <v>8.3539729673204985E-2</v>
      </c>
      <c r="I249" s="30">
        <f t="shared" ca="1" si="40"/>
        <v>0.11017565045085576</v>
      </c>
      <c r="J249" s="30">
        <f t="shared" ca="1" si="41"/>
        <v>1.3188413570626401</v>
      </c>
      <c r="K249" s="30">
        <f t="shared" ca="1" si="42"/>
        <v>0.26744499577441883</v>
      </c>
      <c r="L249" s="30">
        <f t="shared" ca="1" si="43"/>
        <v>5.9113675512592714</v>
      </c>
      <c r="M249" s="1">
        <f t="shared" ca="1" si="44"/>
        <v>11.942918023031098</v>
      </c>
    </row>
    <row r="250" spans="1:13" x14ac:dyDescent="0.4">
      <c r="A250" s="1">
        <f t="shared" ca="1" si="48"/>
        <v>5.9113675512592714</v>
      </c>
      <c r="B250" s="30">
        <f t="shared" ca="1" si="45"/>
        <v>11.942918023031098</v>
      </c>
      <c r="C250" s="30">
        <f t="shared" ca="1" si="38"/>
        <v>0.95521631965899845</v>
      </c>
      <c r="D250" s="30">
        <f t="shared" ca="1" si="49"/>
        <v>6.8665838709182694</v>
      </c>
      <c r="E250" s="30">
        <f t="shared" ca="1" si="46"/>
        <v>31.51881308639895</v>
      </c>
      <c r="F250" s="30">
        <f t="shared" ca="1" si="47"/>
        <v>0.15280562306859635</v>
      </c>
      <c r="G250" s="30">
        <v>248</v>
      </c>
      <c r="H250" s="30">
        <f t="shared" si="39"/>
        <v>8.2704332376472942E-2</v>
      </c>
      <c r="I250" s="30">
        <f t="shared" ca="1" si="40"/>
        <v>19.575895063367852</v>
      </c>
      <c r="J250" s="30">
        <f t="shared" ca="1" si="41"/>
        <v>236.69733496254719</v>
      </c>
      <c r="K250" s="30">
        <f t="shared" ca="1" si="42"/>
        <v>1.5982825010236087E-103</v>
      </c>
      <c r="L250" s="30">
        <f t="shared" ca="1" si="43"/>
        <v>5.9113675512592714</v>
      </c>
      <c r="M250" s="1">
        <f t="shared" ca="1" si="44"/>
        <v>11.942918023031098</v>
      </c>
    </row>
    <row r="251" spans="1:13" x14ac:dyDescent="0.4">
      <c r="A251" s="1">
        <f t="shared" ca="1" si="48"/>
        <v>5.9113675512592714</v>
      </c>
      <c r="B251" s="30">
        <f t="shared" ca="1" si="45"/>
        <v>11.942918023031098</v>
      </c>
      <c r="C251" s="30">
        <f t="shared" ca="1" si="38"/>
        <v>0.23197968520164114</v>
      </c>
      <c r="D251" s="30">
        <f t="shared" ca="1" si="49"/>
        <v>6.1433472364609125</v>
      </c>
      <c r="E251" s="30">
        <f t="shared" ca="1" si="46"/>
        <v>12.639456079583852</v>
      </c>
      <c r="F251" s="30">
        <f t="shared" ca="1" si="47"/>
        <v>0.4767170430166483</v>
      </c>
      <c r="G251" s="30">
        <v>249</v>
      </c>
      <c r="H251" s="30">
        <f t="shared" si="39"/>
        <v>8.1877289052708191E-2</v>
      </c>
      <c r="I251" s="30">
        <f t="shared" ca="1" si="40"/>
        <v>0.69653805655275391</v>
      </c>
      <c r="J251" s="30">
        <f t="shared" ca="1" si="41"/>
        <v>8.5070972013296657</v>
      </c>
      <c r="K251" s="30">
        <f t="shared" ca="1" si="42"/>
        <v>2.0202942530812943E-4</v>
      </c>
      <c r="L251" s="30">
        <f t="shared" ca="1" si="43"/>
        <v>5.9113675512592714</v>
      </c>
      <c r="M251" s="1">
        <f t="shared" ca="1" si="44"/>
        <v>11.942918023031098</v>
      </c>
    </row>
    <row r="252" spans="1:13" x14ac:dyDescent="0.4">
      <c r="A252" s="1">
        <f t="shared" ca="1" si="48"/>
        <v>5.9113675512592714</v>
      </c>
      <c r="B252" s="30">
        <f t="shared" ca="1" si="45"/>
        <v>11.942918023031098</v>
      </c>
      <c r="C252" s="30">
        <f t="shared" ca="1" si="38"/>
        <v>0.22026245573231917</v>
      </c>
      <c r="D252" s="30">
        <f t="shared" ca="1" si="49"/>
        <v>6.1316300069915908</v>
      </c>
      <c r="E252" s="30">
        <f t="shared" ca="1" si="46"/>
        <v>12.55902901508648</v>
      </c>
      <c r="F252" s="30">
        <f t="shared" ca="1" si="47"/>
        <v>0.9963519419669068</v>
      </c>
      <c r="G252" s="30">
        <v>250</v>
      </c>
      <c r="H252" s="30">
        <f t="shared" si="39"/>
        <v>8.1058516162181127E-2</v>
      </c>
      <c r="I252" s="30">
        <f t="shared" ca="1" si="40"/>
        <v>0.61611099205538267</v>
      </c>
      <c r="J252" s="30">
        <f t="shared" ca="1" si="41"/>
        <v>7.6008175479387452</v>
      </c>
      <c r="K252" s="30">
        <f t="shared" ca="1" si="42"/>
        <v>5.0004245760421474E-4</v>
      </c>
      <c r="L252" s="30">
        <f t="shared" ca="1" si="43"/>
        <v>5.9113675512592714</v>
      </c>
      <c r="M252" s="1">
        <f t="shared" ca="1" si="44"/>
        <v>11.942918023031098</v>
      </c>
    </row>
    <row r="253" spans="1:13" x14ac:dyDescent="0.4">
      <c r="A253" s="1">
        <f t="shared" ca="1" si="48"/>
        <v>5.9113675512592714</v>
      </c>
      <c r="B253" s="30">
        <f t="shared" ca="1" si="45"/>
        <v>11.942918023031098</v>
      </c>
      <c r="C253" s="30">
        <f t="shared" ca="1" si="38"/>
        <v>-0.69777500684693083</v>
      </c>
      <c r="D253" s="30">
        <f t="shared" ca="1" si="49"/>
        <v>5.2135925444123403</v>
      </c>
      <c r="E253" s="30">
        <f t="shared" ca="1" si="46"/>
        <v>16.81389023621216</v>
      </c>
      <c r="F253" s="30">
        <f t="shared" ca="1" si="47"/>
        <v>4.6960926553123117E-2</v>
      </c>
      <c r="G253" s="30">
        <v>251</v>
      </c>
      <c r="H253" s="30">
        <f t="shared" si="39"/>
        <v>8.0247931000559325E-2</v>
      </c>
      <c r="I253" s="30">
        <f t="shared" ca="1" si="40"/>
        <v>4.8709722131810622</v>
      </c>
      <c r="J253" s="30">
        <f t="shared" ca="1" si="41"/>
        <v>60.699037999460842</v>
      </c>
      <c r="K253" s="30">
        <f t="shared" ca="1" si="42"/>
        <v>4.3525396894018563E-27</v>
      </c>
      <c r="L253" s="30">
        <f t="shared" ca="1" si="43"/>
        <v>5.9113675512592714</v>
      </c>
      <c r="M253" s="1">
        <f t="shared" ca="1" si="44"/>
        <v>11.942918023031098</v>
      </c>
    </row>
    <row r="254" spans="1:13" x14ac:dyDescent="0.4">
      <c r="A254" s="1">
        <f t="shared" ca="1" si="48"/>
        <v>5.9113675512592714</v>
      </c>
      <c r="B254" s="30">
        <f t="shared" ca="1" si="45"/>
        <v>11.942918023031098</v>
      </c>
      <c r="C254" s="30">
        <f t="shared" ca="1" si="38"/>
        <v>-0.46933782300587112</v>
      </c>
      <c r="D254" s="30">
        <f t="shared" ca="1" si="49"/>
        <v>5.4420297282534005</v>
      </c>
      <c r="E254" s="30">
        <f t="shared" ca="1" si="46"/>
        <v>14.572572768576265</v>
      </c>
      <c r="F254" s="30">
        <f t="shared" ca="1" si="47"/>
        <v>0.68932329658461089</v>
      </c>
      <c r="G254" s="30">
        <v>252</v>
      </c>
      <c r="H254" s="30">
        <f t="shared" si="39"/>
        <v>7.9445451690553712E-2</v>
      </c>
      <c r="I254" s="30">
        <f t="shared" ca="1" si="40"/>
        <v>2.6296547455451673</v>
      </c>
      <c r="J254" s="30">
        <f t="shared" ca="1" si="41"/>
        <v>33.100129580581651</v>
      </c>
      <c r="K254" s="30">
        <f t="shared" ca="1" si="42"/>
        <v>4.2149882944352866E-15</v>
      </c>
      <c r="L254" s="30">
        <f t="shared" ca="1" si="43"/>
        <v>5.9113675512592714</v>
      </c>
      <c r="M254" s="1">
        <f t="shared" ca="1" si="44"/>
        <v>11.942918023031098</v>
      </c>
    </row>
    <row r="255" spans="1:13" x14ac:dyDescent="0.4">
      <c r="A255" s="1">
        <f t="shared" ca="1" si="48"/>
        <v>5.9113675512592714</v>
      </c>
      <c r="B255" s="30">
        <f t="shared" ca="1" si="45"/>
        <v>11.942918023031098</v>
      </c>
      <c r="C255" s="30">
        <f t="shared" ca="1" si="38"/>
        <v>-0.29558528414456431</v>
      </c>
      <c r="D255" s="30">
        <f t="shared" ca="1" si="49"/>
        <v>5.6157822671147066</v>
      </c>
      <c r="E255" s="30">
        <f t="shared" ca="1" si="46"/>
        <v>13.161573609708739</v>
      </c>
      <c r="F255" s="30">
        <f t="shared" ca="1" si="47"/>
        <v>0.48961174935064689</v>
      </c>
      <c r="G255" s="30">
        <v>253</v>
      </c>
      <c r="H255" s="30">
        <f t="shared" si="39"/>
        <v>7.8650997173648152E-2</v>
      </c>
      <c r="I255" s="30">
        <f t="shared" ca="1" si="40"/>
        <v>1.2186555866776416</v>
      </c>
      <c r="J255" s="30">
        <f t="shared" ca="1" si="41"/>
        <v>15.494470896370906</v>
      </c>
      <c r="K255" s="30">
        <f t="shared" ca="1" si="42"/>
        <v>1.8656784266468122E-7</v>
      </c>
      <c r="L255" s="30">
        <f t="shared" ca="1" si="43"/>
        <v>5.9113675512592714</v>
      </c>
      <c r="M255" s="1">
        <f t="shared" ca="1" si="44"/>
        <v>11.942918023031098</v>
      </c>
    </row>
    <row r="256" spans="1:13" x14ac:dyDescent="0.4">
      <c r="A256" s="1">
        <f t="shared" ca="1" si="48"/>
        <v>5.9113675512592714</v>
      </c>
      <c r="B256" s="30">
        <f t="shared" ca="1" si="45"/>
        <v>11.942918023031098</v>
      </c>
      <c r="C256" s="30">
        <f t="shared" ca="1" si="38"/>
        <v>-0.66131735953322335</v>
      </c>
      <c r="D256" s="30">
        <f t="shared" ca="1" si="49"/>
        <v>5.2500501917260483</v>
      </c>
      <c r="E256" s="30">
        <f t="shared" ca="1" si="46"/>
        <v>16.440894925255634</v>
      </c>
      <c r="F256" s="30">
        <f t="shared" ca="1" si="47"/>
        <v>0.10989100895042159</v>
      </c>
      <c r="G256" s="30">
        <v>254</v>
      </c>
      <c r="H256" s="30">
        <f t="shared" si="39"/>
        <v>7.7864487201911706E-2</v>
      </c>
      <c r="I256" s="30">
        <f t="shared" ca="1" si="40"/>
        <v>4.4979769022245364</v>
      </c>
      <c r="J256" s="30">
        <f t="shared" ca="1" si="41"/>
        <v>57.766731200075291</v>
      </c>
      <c r="K256" s="30">
        <f t="shared" ca="1" si="42"/>
        <v>8.170100564315452E-26</v>
      </c>
      <c r="L256" s="30">
        <f t="shared" ca="1" si="43"/>
        <v>5.9113675512592714</v>
      </c>
      <c r="M256" s="1">
        <f t="shared" ca="1" si="44"/>
        <v>11.942918023031098</v>
      </c>
    </row>
    <row r="257" spans="1:13" x14ac:dyDescent="0.4">
      <c r="A257" s="1">
        <f t="shared" ca="1" si="48"/>
        <v>5.9113675512592714</v>
      </c>
      <c r="B257" s="30">
        <f t="shared" ca="1" si="45"/>
        <v>11.942918023031098</v>
      </c>
      <c r="C257" s="30">
        <f t="shared" ca="1" si="38"/>
        <v>0.89683035023830326</v>
      </c>
      <c r="D257" s="30">
        <f t="shared" ca="1" si="49"/>
        <v>6.8081979014975751</v>
      </c>
      <c r="E257" s="30">
        <f t="shared" ca="1" si="46"/>
        <v>28.717201031894319</v>
      </c>
      <c r="F257" s="30">
        <f t="shared" ca="1" si="47"/>
        <v>0.12173648167995432</v>
      </c>
      <c r="G257" s="30">
        <v>255</v>
      </c>
      <c r="H257" s="30">
        <f t="shared" si="39"/>
        <v>7.7085842329892587E-2</v>
      </c>
      <c r="I257" s="30">
        <f t="shared" ca="1" si="40"/>
        <v>16.774283008863222</v>
      </c>
      <c r="J257" s="30">
        <f t="shared" ca="1" si="41"/>
        <v>217.60523725065968</v>
      </c>
      <c r="K257" s="30">
        <f t="shared" ca="1" si="42"/>
        <v>3.1278522401845316E-95</v>
      </c>
      <c r="L257" s="30">
        <f t="shared" ca="1" si="43"/>
        <v>5.9113675512592714</v>
      </c>
      <c r="M257" s="1">
        <f t="shared" ca="1" si="44"/>
        <v>11.942918023031098</v>
      </c>
    </row>
    <row r="258" spans="1:13" x14ac:dyDescent="0.4">
      <c r="A258" s="1">
        <f t="shared" ca="1" si="48"/>
        <v>5.9113675512592714</v>
      </c>
      <c r="B258" s="30">
        <f t="shared" ca="1" si="45"/>
        <v>11.942918023031098</v>
      </c>
      <c r="C258" s="30">
        <f t="shared" ca="1" si="38"/>
        <v>0.4615557500018006</v>
      </c>
      <c r="D258" s="30">
        <f t="shared" ca="1" si="49"/>
        <v>6.3729233012610722</v>
      </c>
      <c r="E258" s="30">
        <f t="shared" ca="1" si="46"/>
        <v>15.405241067095176</v>
      </c>
      <c r="F258" s="30">
        <f t="shared" ca="1" si="47"/>
        <v>0.67162340665607645</v>
      </c>
      <c r="G258" s="30">
        <v>256</v>
      </c>
      <c r="H258" s="30">
        <f t="shared" si="39"/>
        <v>7.6314983906593636E-2</v>
      </c>
      <c r="I258" s="30">
        <f t="shared" ca="1" si="40"/>
        <v>3.4623230440640782</v>
      </c>
      <c r="J258" s="30">
        <f t="shared" ca="1" si="41"/>
        <v>45.368849822491185</v>
      </c>
      <c r="K258" s="30">
        <f t="shared" ca="1" si="42"/>
        <v>1.9795153408393781E-20</v>
      </c>
      <c r="L258" s="30">
        <f t="shared" ca="1" si="43"/>
        <v>5.9113675512592714</v>
      </c>
      <c r="M258" s="1">
        <f t="shared" ca="1" si="44"/>
        <v>11.942918023031098</v>
      </c>
    </row>
    <row r="259" spans="1:13" x14ac:dyDescent="0.4">
      <c r="A259" s="1">
        <f t="shared" ca="1" si="48"/>
        <v>5.9113675512592714</v>
      </c>
      <c r="B259" s="30">
        <f t="shared" ca="1" si="45"/>
        <v>11.942918023031098</v>
      </c>
      <c r="C259" s="30">
        <f t="shared" ref="C259:C322" ca="1" si="50">2*(RAND()-0.5)</f>
        <v>0.20048248327482998</v>
      </c>
      <c r="D259" s="30">
        <f t="shared" ca="1" si="49"/>
        <v>6.1118500345341014</v>
      </c>
      <c r="E259" s="30">
        <f t="shared" ca="1" si="46"/>
        <v>12.435217799958536</v>
      </c>
      <c r="F259" s="30">
        <f t="shared" ca="1" si="47"/>
        <v>0.19759289728540896</v>
      </c>
      <c r="G259" s="30">
        <v>257</v>
      </c>
      <c r="H259" s="30">
        <f t="shared" ref="H259:H322" si="51">0.99^G259</f>
        <v>7.5551834067527704E-2</v>
      </c>
      <c r="I259" s="30">
        <f t="shared" ref="I259:I322" ca="1" si="52">E259-B259</f>
        <v>0.49229977692743887</v>
      </c>
      <c r="J259" s="30">
        <f t="shared" ref="J259:J322" ca="1" si="53">I259/H259</f>
        <v>6.516053289817223</v>
      </c>
      <c r="K259" s="30">
        <f t="shared" ref="K259:K322" ca="1" si="54">IF(I259&lt;0,0,EXP(-J259))</f>
        <v>1.4794967396394834E-3</v>
      </c>
      <c r="L259" s="30">
        <f t="shared" ref="L259:L322" ca="1" si="55">IF(E259&lt;B259,D259,IF(F259&lt;K259,D259,A259))</f>
        <v>5.9113675512592714</v>
      </c>
      <c r="M259" s="1">
        <f t="shared" ref="M259:M322" ca="1" si="56">L259^4-16*L259^3+88*L259^2-190*L259+144</f>
        <v>11.942918023031098</v>
      </c>
    </row>
    <row r="260" spans="1:13" x14ac:dyDescent="0.4">
      <c r="A260" s="1">
        <f t="shared" ca="1" si="48"/>
        <v>5.9113675512592714</v>
      </c>
      <c r="B260" s="30">
        <f t="shared" ref="B260:B323" ca="1" si="57">A260^4-16*A260^3+88*A260^2-190*A260+144</f>
        <v>11.942918023031098</v>
      </c>
      <c r="C260" s="30">
        <f t="shared" ca="1" si="50"/>
        <v>0.72446531555704152</v>
      </c>
      <c r="D260" s="30">
        <f t="shared" ca="1" si="49"/>
        <v>6.6358328668163127</v>
      </c>
      <c r="E260" s="30">
        <f t="shared" ref="E260:E323" ca="1" si="58">D260^4-16*D260^3+88*D260^2-190*D260+144</f>
        <v>21.960099342882131</v>
      </c>
      <c r="F260" s="30">
        <f t="shared" ref="F260:F323" ca="1" si="59">RAND()</f>
        <v>0.69869533942466255</v>
      </c>
      <c r="G260" s="30">
        <v>258</v>
      </c>
      <c r="H260" s="30">
        <f t="shared" si="51"/>
        <v>7.4796315726852428E-2</v>
      </c>
      <c r="I260" s="30">
        <f t="shared" ca="1" si="52"/>
        <v>10.017181319851034</v>
      </c>
      <c r="J260" s="30">
        <f t="shared" ca="1" si="53"/>
        <v>133.9261328917942</v>
      </c>
      <c r="K260" s="30">
        <f t="shared" ca="1" si="54"/>
        <v>6.8646674374867393E-59</v>
      </c>
      <c r="L260" s="30">
        <f t="shared" ca="1" si="55"/>
        <v>5.9113675512592714</v>
      </c>
      <c r="M260" s="1">
        <f t="shared" ca="1" si="56"/>
        <v>11.942918023031098</v>
      </c>
    </row>
    <row r="261" spans="1:13" x14ac:dyDescent="0.4">
      <c r="A261" s="1">
        <f t="shared" ca="1" si="48"/>
        <v>5.9113675512592714</v>
      </c>
      <c r="B261" s="30">
        <f t="shared" ca="1" si="57"/>
        <v>11.942918023031098</v>
      </c>
      <c r="C261" s="30">
        <f t="shared" ca="1" si="50"/>
        <v>-0.11152025519499764</v>
      </c>
      <c r="D261" s="30">
        <f t="shared" ca="1" si="49"/>
        <v>5.7998472960642733</v>
      </c>
      <c r="E261" s="30">
        <f t="shared" ca="1" si="58"/>
        <v>12.17813045480284</v>
      </c>
      <c r="F261" s="30">
        <f t="shared" ca="1" si="59"/>
        <v>0.369833744662321</v>
      </c>
      <c r="G261" s="30">
        <v>259</v>
      </c>
      <c r="H261" s="30">
        <f t="shared" si="51"/>
        <v>7.4048352569583892E-2</v>
      </c>
      <c r="I261" s="30">
        <f t="shared" ca="1" si="52"/>
        <v>0.23521243177174256</v>
      </c>
      <c r="J261" s="30">
        <f t="shared" ca="1" si="53"/>
        <v>3.1764708276353799</v>
      </c>
      <c r="K261" s="30">
        <f t="shared" ca="1" si="54"/>
        <v>4.1732677346781745E-2</v>
      </c>
      <c r="L261" s="30">
        <f t="shared" ca="1" si="55"/>
        <v>5.9113675512592714</v>
      </c>
      <c r="M261" s="1">
        <f t="shared" ca="1" si="56"/>
        <v>11.942918023031098</v>
      </c>
    </row>
    <row r="262" spans="1:13" x14ac:dyDescent="0.4">
      <c r="A262" s="1">
        <f t="shared" ca="1" si="48"/>
        <v>5.9113675512592714</v>
      </c>
      <c r="B262" s="30">
        <f t="shared" ca="1" si="57"/>
        <v>11.942918023031098</v>
      </c>
      <c r="C262" s="30">
        <f t="shared" ca="1" si="50"/>
        <v>-0.67941866631570402</v>
      </c>
      <c r="D262" s="30">
        <f t="shared" ca="1" si="49"/>
        <v>5.2319488849435674</v>
      </c>
      <c r="E262" s="30">
        <f t="shared" ca="1" si="58"/>
        <v>16.625720715473221</v>
      </c>
      <c r="F262" s="30">
        <f t="shared" ca="1" si="59"/>
        <v>0.51196947225335609</v>
      </c>
      <c r="G262" s="30">
        <v>260</v>
      </c>
      <c r="H262" s="30">
        <f t="shared" si="51"/>
        <v>7.3307869043888058E-2</v>
      </c>
      <c r="I262" s="30">
        <f t="shared" ca="1" si="52"/>
        <v>4.6828026924421238</v>
      </c>
      <c r="J262" s="30">
        <f t="shared" ca="1" si="53"/>
        <v>63.87858156998967</v>
      </c>
      <c r="K262" s="30">
        <f t="shared" ca="1" si="54"/>
        <v>1.8108584848299921E-28</v>
      </c>
      <c r="L262" s="30">
        <f t="shared" ca="1" si="55"/>
        <v>5.9113675512592714</v>
      </c>
      <c r="M262" s="1">
        <f t="shared" ca="1" si="56"/>
        <v>11.942918023031098</v>
      </c>
    </row>
    <row r="263" spans="1:13" x14ac:dyDescent="0.4">
      <c r="A263" s="1">
        <f t="shared" ca="1" si="48"/>
        <v>5.9113675512592714</v>
      </c>
      <c r="B263" s="30">
        <f t="shared" ca="1" si="57"/>
        <v>11.942918023031098</v>
      </c>
      <c r="C263" s="30">
        <f t="shared" ca="1" si="50"/>
        <v>-0.46302143120341865</v>
      </c>
      <c r="D263" s="30">
        <f t="shared" ca="1" si="49"/>
        <v>5.4483461200558523</v>
      </c>
      <c r="E263" s="30">
        <f t="shared" ca="1" si="58"/>
        <v>14.515412863102711</v>
      </c>
      <c r="F263" s="30">
        <f t="shared" ca="1" si="59"/>
        <v>0.45819304320351417</v>
      </c>
      <c r="G263" s="30">
        <v>261</v>
      </c>
      <c r="H263" s="30">
        <f t="shared" si="51"/>
        <v>7.2574790353449173E-2</v>
      </c>
      <c r="I263" s="30">
        <f t="shared" ca="1" si="52"/>
        <v>2.572494840071613</v>
      </c>
      <c r="J263" s="30">
        <f t="shared" ca="1" si="53"/>
        <v>35.446121546382848</v>
      </c>
      <c r="K263" s="30">
        <f t="shared" ca="1" si="54"/>
        <v>4.0359428467318541E-16</v>
      </c>
      <c r="L263" s="30">
        <f t="shared" ca="1" si="55"/>
        <v>5.9113675512592714</v>
      </c>
      <c r="M263" s="1">
        <f t="shared" ca="1" si="56"/>
        <v>11.942918023031098</v>
      </c>
    </row>
    <row r="264" spans="1:13" x14ac:dyDescent="0.4">
      <c r="A264" s="1">
        <f t="shared" ca="1" si="48"/>
        <v>5.9113675512592714</v>
      </c>
      <c r="B264" s="30">
        <f t="shared" ca="1" si="57"/>
        <v>11.942918023031098</v>
      </c>
      <c r="C264" s="30">
        <f t="shared" ca="1" si="50"/>
        <v>-0.54598836502509718</v>
      </c>
      <c r="D264" s="30">
        <f t="shared" ca="1" si="49"/>
        <v>5.3653791862341738</v>
      </c>
      <c r="E264" s="30">
        <f t="shared" ca="1" si="58"/>
        <v>15.292142343791511</v>
      </c>
      <c r="F264" s="30">
        <f t="shared" ca="1" si="59"/>
        <v>0.72970303659287528</v>
      </c>
      <c r="G264" s="30">
        <v>262</v>
      </c>
      <c r="H264" s="30">
        <f t="shared" si="51"/>
        <v>7.1849042449914677E-2</v>
      </c>
      <c r="I264" s="30">
        <f t="shared" ca="1" si="52"/>
        <v>3.3492243207604133</v>
      </c>
      <c r="J264" s="30">
        <f t="shared" ca="1" si="53"/>
        <v>46.614738437121517</v>
      </c>
      <c r="K264" s="30">
        <f t="shared" ca="1" si="54"/>
        <v>5.6947717424496648E-21</v>
      </c>
      <c r="L264" s="30">
        <f t="shared" ca="1" si="55"/>
        <v>5.9113675512592714</v>
      </c>
      <c r="M264" s="1">
        <f t="shared" ca="1" si="56"/>
        <v>11.942918023031098</v>
      </c>
    </row>
    <row r="265" spans="1:13" x14ac:dyDescent="0.4">
      <c r="A265" s="1">
        <f t="shared" ca="1" si="48"/>
        <v>5.9113675512592714</v>
      </c>
      <c r="B265" s="30">
        <f t="shared" ca="1" si="57"/>
        <v>11.942918023031098</v>
      </c>
      <c r="C265" s="30">
        <f t="shared" ca="1" si="50"/>
        <v>-0.91478070261271105</v>
      </c>
      <c r="D265" s="30">
        <f t="shared" ca="1" si="49"/>
        <v>4.9965868486465599</v>
      </c>
      <c r="E265" s="30">
        <f t="shared" ca="1" si="58"/>
        <v>19.034108055418301</v>
      </c>
      <c r="F265" s="30">
        <f t="shared" ca="1" si="59"/>
        <v>0.49956952849467107</v>
      </c>
      <c r="G265" s="30">
        <v>263</v>
      </c>
      <c r="H265" s="30">
        <f t="shared" si="51"/>
        <v>7.113055202541553E-2</v>
      </c>
      <c r="I265" s="30">
        <f t="shared" ca="1" si="52"/>
        <v>7.0911900323872032</v>
      </c>
      <c r="J265" s="30">
        <f t="shared" ca="1" si="53"/>
        <v>99.692605082742261</v>
      </c>
      <c r="K265" s="30">
        <f t="shared" ca="1" si="54"/>
        <v>5.0588491109274628E-44</v>
      </c>
      <c r="L265" s="30">
        <f t="shared" ca="1" si="55"/>
        <v>5.9113675512592714</v>
      </c>
      <c r="M265" s="1">
        <f t="shared" ca="1" si="56"/>
        <v>11.942918023031098</v>
      </c>
    </row>
    <row r="266" spans="1:13" x14ac:dyDescent="0.4">
      <c r="A266" s="1">
        <f t="shared" ca="1" si="48"/>
        <v>5.9113675512592714</v>
      </c>
      <c r="B266" s="30">
        <f t="shared" ca="1" si="57"/>
        <v>11.942918023031098</v>
      </c>
      <c r="C266" s="30">
        <f t="shared" ca="1" si="50"/>
        <v>9.3856539565137842E-2</v>
      </c>
      <c r="D266" s="30">
        <f t="shared" ca="1" si="49"/>
        <v>6.0052240908244094</v>
      </c>
      <c r="E266" s="30">
        <f t="shared" ca="1" si="58"/>
        <v>12.010885980963621</v>
      </c>
      <c r="F266" s="30">
        <f t="shared" ca="1" si="59"/>
        <v>5.1069452487048084E-2</v>
      </c>
      <c r="G266" s="30">
        <v>264</v>
      </c>
      <c r="H266" s="30">
        <f t="shared" si="51"/>
        <v>7.0419246505161376E-2</v>
      </c>
      <c r="I266" s="30">
        <f t="shared" ca="1" si="52"/>
        <v>6.7967957932523859E-2</v>
      </c>
      <c r="J266" s="30">
        <f t="shared" ca="1" si="53"/>
        <v>0.9651900766581214</v>
      </c>
      <c r="K266" s="30">
        <f t="shared" ca="1" si="54"/>
        <v>0.38091079060779126</v>
      </c>
      <c r="L266" s="30">
        <f t="shared" ca="1" si="55"/>
        <v>6.0052240908244094</v>
      </c>
      <c r="M266" s="1">
        <f t="shared" ca="1" si="56"/>
        <v>12.010885980963621</v>
      </c>
    </row>
    <row r="267" spans="1:13" x14ac:dyDescent="0.4">
      <c r="A267" s="1">
        <f t="shared" ca="1" si="48"/>
        <v>6.0052240908244094</v>
      </c>
      <c r="B267" s="30">
        <f t="shared" ca="1" si="57"/>
        <v>12.010885980963621</v>
      </c>
      <c r="C267" s="30">
        <f t="shared" ca="1" si="50"/>
        <v>-5.3501546871618011E-2</v>
      </c>
      <c r="D267" s="30">
        <f t="shared" ca="1" si="49"/>
        <v>5.9517225439527914</v>
      </c>
      <c r="E267" s="30">
        <f t="shared" ca="1" si="58"/>
        <v>11.939841757262457</v>
      </c>
      <c r="F267" s="30">
        <f t="shared" ca="1" si="59"/>
        <v>0.1959486645590387</v>
      </c>
      <c r="G267" s="30">
        <v>265</v>
      </c>
      <c r="H267" s="30">
        <f t="shared" si="51"/>
        <v>6.9715054040109761E-2</v>
      </c>
      <c r="I267" s="30">
        <f t="shared" ca="1" si="52"/>
        <v>-7.104422370116481E-2</v>
      </c>
      <c r="J267" s="30">
        <f t="shared" ca="1" si="53"/>
        <v>-1.0190657481279484</v>
      </c>
      <c r="K267" s="30">
        <f t="shared" ca="1" si="54"/>
        <v>0</v>
      </c>
      <c r="L267" s="30">
        <f t="shared" ca="1" si="55"/>
        <v>5.9517225439527914</v>
      </c>
      <c r="M267" s="1">
        <f t="shared" ca="1" si="56"/>
        <v>11.939841757262457</v>
      </c>
    </row>
    <row r="268" spans="1:13" x14ac:dyDescent="0.4">
      <c r="A268" s="1">
        <f t="shared" ca="1" si="48"/>
        <v>5.9517225439527914</v>
      </c>
      <c r="B268" s="30">
        <f t="shared" ca="1" si="57"/>
        <v>11.939841757262457</v>
      </c>
      <c r="C268" s="30">
        <f t="shared" ca="1" si="50"/>
        <v>0.93756625951164518</v>
      </c>
      <c r="D268" s="30">
        <f t="shared" ca="1" si="49"/>
        <v>6.8892888034644368</v>
      </c>
      <c r="E268" s="30">
        <f t="shared" ca="1" si="58"/>
        <v>32.683592819351588</v>
      </c>
      <c r="F268" s="30">
        <f t="shared" ca="1" si="59"/>
        <v>0.3936536740796851</v>
      </c>
      <c r="G268" s="30">
        <v>266</v>
      </c>
      <c r="H268" s="30">
        <f t="shared" si="51"/>
        <v>6.9017903499708655E-2</v>
      </c>
      <c r="I268" s="30">
        <f t="shared" ca="1" si="52"/>
        <v>20.743751062089132</v>
      </c>
      <c r="J268" s="30">
        <f t="shared" ca="1" si="53"/>
        <v>300.55608777187354</v>
      </c>
      <c r="K268" s="30">
        <f t="shared" ca="1" si="54"/>
        <v>2.9522258472904305E-131</v>
      </c>
      <c r="L268" s="30">
        <f t="shared" ca="1" si="55"/>
        <v>5.9517225439527914</v>
      </c>
      <c r="M268" s="1">
        <f t="shared" ca="1" si="56"/>
        <v>11.939841757262457</v>
      </c>
    </row>
    <row r="269" spans="1:13" x14ac:dyDescent="0.4">
      <c r="A269" s="1">
        <f t="shared" ca="1" si="48"/>
        <v>5.9517225439527914</v>
      </c>
      <c r="B269" s="30">
        <f t="shared" ca="1" si="57"/>
        <v>11.939841757262457</v>
      </c>
      <c r="C269" s="30">
        <f t="shared" ca="1" si="50"/>
        <v>-0.59205098619802699</v>
      </c>
      <c r="D269" s="30">
        <f t="shared" ca="1" si="49"/>
        <v>5.3596715577547647</v>
      </c>
      <c r="E269" s="30">
        <f t="shared" ca="1" si="58"/>
        <v>15.347405784658804</v>
      </c>
      <c r="F269" s="30">
        <f t="shared" ca="1" si="59"/>
        <v>0.76055175582751611</v>
      </c>
      <c r="G269" s="30">
        <v>267</v>
      </c>
      <c r="H269" s="30">
        <f t="shared" si="51"/>
        <v>6.8327724464711567E-2</v>
      </c>
      <c r="I269" s="30">
        <f t="shared" ca="1" si="52"/>
        <v>3.4075640273963472</v>
      </c>
      <c r="J269" s="30">
        <f t="shared" ca="1" si="53"/>
        <v>49.870884097072668</v>
      </c>
      <c r="K269" s="30">
        <f t="shared" ca="1" si="54"/>
        <v>2.1945739968253605E-22</v>
      </c>
      <c r="L269" s="30">
        <f t="shared" ca="1" si="55"/>
        <v>5.9517225439527914</v>
      </c>
      <c r="M269" s="1">
        <f t="shared" ca="1" si="56"/>
        <v>11.939841757262457</v>
      </c>
    </row>
    <row r="270" spans="1:13" x14ac:dyDescent="0.4">
      <c r="A270" s="1">
        <f t="shared" ca="1" si="48"/>
        <v>5.9517225439527914</v>
      </c>
      <c r="B270" s="30">
        <f t="shared" ca="1" si="57"/>
        <v>11.939841757262457</v>
      </c>
      <c r="C270" s="30">
        <f t="shared" ca="1" si="50"/>
        <v>0.99358333408777177</v>
      </c>
      <c r="D270" s="30">
        <f t="shared" ca="1" si="49"/>
        <v>6.9453058780405632</v>
      </c>
      <c r="E270" s="30">
        <f t="shared" ca="1" si="58"/>
        <v>35.74461657341817</v>
      </c>
      <c r="F270" s="30">
        <f t="shared" ca="1" si="59"/>
        <v>0.92353891021004364</v>
      </c>
      <c r="G270" s="30">
        <v>268</v>
      </c>
      <c r="H270" s="30">
        <f t="shared" si="51"/>
        <v>6.7644447220064463E-2</v>
      </c>
      <c r="I270" s="30">
        <f t="shared" ca="1" si="52"/>
        <v>23.804774816155714</v>
      </c>
      <c r="J270" s="30">
        <f t="shared" ca="1" si="53"/>
        <v>351.9102571525608</v>
      </c>
      <c r="K270" s="30">
        <f t="shared" ca="1" si="54"/>
        <v>1.4699995218642645E-153</v>
      </c>
      <c r="L270" s="30">
        <f t="shared" ca="1" si="55"/>
        <v>5.9517225439527914</v>
      </c>
      <c r="M270" s="1">
        <f t="shared" ca="1" si="56"/>
        <v>11.939841757262457</v>
      </c>
    </row>
    <row r="271" spans="1:13" x14ac:dyDescent="0.4">
      <c r="A271" s="1">
        <f t="shared" ca="1" si="48"/>
        <v>5.9517225439527914</v>
      </c>
      <c r="B271" s="30">
        <f t="shared" ca="1" si="57"/>
        <v>11.939841757262457</v>
      </c>
      <c r="C271" s="30">
        <f t="shared" ca="1" si="50"/>
        <v>-0.59038790557876464</v>
      </c>
      <c r="D271" s="30">
        <f t="shared" ca="1" si="49"/>
        <v>5.3613346383740268</v>
      </c>
      <c r="E271" s="30">
        <f t="shared" ca="1" si="58"/>
        <v>15.331282132718229</v>
      </c>
      <c r="F271" s="30">
        <f t="shared" ca="1" si="59"/>
        <v>0.42222952449172102</v>
      </c>
      <c r="G271" s="30">
        <v>269</v>
      </c>
      <c r="H271" s="30">
        <f t="shared" si="51"/>
        <v>6.6968002747863811E-2</v>
      </c>
      <c r="I271" s="30">
        <f t="shared" ca="1" si="52"/>
        <v>3.3914403754557725</v>
      </c>
      <c r="J271" s="30">
        <f t="shared" ca="1" si="53"/>
        <v>50.642698547015499</v>
      </c>
      <c r="K271" s="30">
        <f t="shared" ca="1" si="54"/>
        <v>1.0142744191224642E-22</v>
      </c>
      <c r="L271" s="30">
        <f t="shared" ca="1" si="55"/>
        <v>5.9517225439527914</v>
      </c>
      <c r="M271" s="1">
        <f t="shared" ca="1" si="56"/>
        <v>11.939841757262457</v>
      </c>
    </row>
    <row r="272" spans="1:13" x14ac:dyDescent="0.4">
      <c r="A272" s="1">
        <f t="shared" ca="1" si="48"/>
        <v>5.9517225439527914</v>
      </c>
      <c r="B272" s="30">
        <f t="shared" ca="1" si="57"/>
        <v>11.939841757262457</v>
      </c>
      <c r="C272" s="30">
        <f t="shared" ca="1" si="50"/>
        <v>-5.9865794970084041E-2</v>
      </c>
      <c r="D272" s="30">
        <f t="shared" ca="1" si="49"/>
        <v>5.8918567489827076</v>
      </c>
      <c r="E272" s="30">
        <f t="shared" ca="1" si="58"/>
        <v>11.96085182363845</v>
      </c>
      <c r="F272" s="30">
        <f t="shared" ca="1" si="59"/>
        <v>0.27648774260097642</v>
      </c>
      <c r="G272" s="30">
        <v>270</v>
      </c>
      <c r="H272" s="30">
        <f t="shared" si="51"/>
        <v>6.6298322720385175E-2</v>
      </c>
      <c r="I272" s="30">
        <f t="shared" ca="1" si="52"/>
        <v>2.1010066375993119E-2</v>
      </c>
      <c r="J272" s="30">
        <f t="shared" ca="1" si="53"/>
        <v>0.31690192924794791</v>
      </c>
      <c r="K272" s="30">
        <f t="shared" ca="1" si="54"/>
        <v>0.72840218657321021</v>
      </c>
      <c r="L272" s="30">
        <f t="shared" ca="1" si="55"/>
        <v>5.8918567489827076</v>
      </c>
      <c r="M272" s="1">
        <f t="shared" ca="1" si="56"/>
        <v>11.96085182363845</v>
      </c>
    </row>
    <row r="273" spans="1:13" x14ac:dyDescent="0.4">
      <c r="A273" s="1">
        <f t="shared" ca="1" si="48"/>
        <v>5.8918567489827076</v>
      </c>
      <c r="B273" s="30">
        <f t="shared" ca="1" si="57"/>
        <v>11.96085182363845</v>
      </c>
      <c r="C273" s="30">
        <f t="shared" ca="1" si="50"/>
        <v>0.12865795189197837</v>
      </c>
      <c r="D273" s="30">
        <f t="shared" ca="1" si="49"/>
        <v>6.0205147008746858</v>
      </c>
      <c r="E273" s="30">
        <f t="shared" ca="1" si="58"/>
        <v>12.047832295477747</v>
      </c>
      <c r="F273" s="30">
        <f t="shared" ca="1" si="59"/>
        <v>1.1239767366162168E-2</v>
      </c>
      <c r="G273" s="30">
        <v>271</v>
      </c>
      <c r="H273" s="30">
        <f t="shared" si="51"/>
        <v>6.5635339493181316E-2</v>
      </c>
      <c r="I273" s="30">
        <f t="shared" ca="1" si="52"/>
        <v>8.6980471839297024E-2</v>
      </c>
      <c r="J273" s="30">
        <f t="shared" ca="1" si="53"/>
        <v>1.325207921691838</v>
      </c>
      <c r="K273" s="30">
        <f t="shared" ca="1" si="54"/>
        <v>0.2657476986331001</v>
      </c>
      <c r="L273" s="30">
        <f t="shared" ca="1" si="55"/>
        <v>6.0205147008746858</v>
      </c>
      <c r="M273" s="1">
        <f t="shared" ca="1" si="56"/>
        <v>12.047832295477747</v>
      </c>
    </row>
    <row r="274" spans="1:13" x14ac:dyDescent="0.4">
      <c r="A274" s="1">
        <f t="shared" ca="1" si="48"/>
        <v>6.0205147008746858</v>
      </c>
      <c r="B274" s="30">
        <f t="shared" ca="1" si="57"/>
        <v>12.047832295477747</v>
      </c>
      <c r="C274" s="30">
        <f t="shared" ca="1" si="50"/>
        <v>0.93372216140988029</v>
      </c>
      <c r="D274" s="30">
        <f t="shared" ca="1" si="49"/>
        <v>6.9542368622845663</v>
      </c>
      <c r="E274" s="30">
        <f t="shared" ca="1" si="58"/>
        <v>36.257875945644628</v>
      </c>
      <c r="F274" s="30">
        <f t="shared" ca="1" si="59"/>
        <v>0.64894505364744159</v>
      </c>
      <c r="G274" s="30">
        <v>272</v>
      </c>
      <c r="H274" s="30">
        <f t="shared" si="51"/>
        <v>6.4978986098249508E-2</v>
      </c>
      <c r="I274" s="30">
        <f t="shared" ca="1" si="52"/>
        <v>24.210043650166881</v>
      </c>
      <c r="J274" s="30">
        <f t="shared" ca="1" si="53"/>
        <v>372.58266254817852</v>
      </c>
      <c r="K274" s="30">
        <f t="shared" ca="1" si="54"/>
        <v>1.5466982797533675E-162</v>
      </c>
      <c r="L274" s="30">
        <f t="shared" ca="1" si="55"/>
        <v>6.0205147008746858</v>
      </c>
      <c r="M274" s="1">
        <f t="shared" ca="1" si="56"/>
        <v>12.047832295477747</v>
      </c>
    </row>
    <row r="275" spans="1:13" x14ac:dyDescent="0.4">
      <c r="A275" s="1">
        <f t="shared" ca="1" si="48"/>
        <v>6.0205147008746858</v>
      </c>
      <c r="B275" s="30">
        <f t="shared" ca="1" si="57"/>
        <v>12.047832295477747</v>
      </c>
      <c r="C275" s="30">
        <f t="shared" ca="1" si="50"/>
        <v>0.9271690816708551</v>
      </c>
      <c r="D275" s="30">
        <f t="shared" ca="1" si="49"/>
        <v>6.9476837825455409</v>
      </c>
      <c r="E275" s="30">
        <f t="shared" ca="1" si="58"/>
        <v>35.880585127482163</v>
      </c>
      <c r="F275" s="30">
        <f t="shared" ca="1" si="59"/>
        <v>0.59397147953707097</v>
      </c>
      <c r="G275" s="30">
        <v>273</v>
      </c>
      <c r="H275" s="30">
        <f t="shared" si="51"/>
        <v>6.4329196237267003E-2</v>
      </c>
      <c r="I275" s="30">
        <f t="shared" ca="1" si="52"/>
        <v>23.832752832004417</v>
      </c>
      <c r="J275" s="30">
        <f t="shared" ca="1" si="53"/>
        <v>370.48112250775637</v>
      </c>
      <c r="K275" s="30">
        <f t="shared" ca="1" si="54"/>
        <v>1.2650067577815127E-161</v>
      </c>
      <c r="L275" s="30">
        <f t="shared" ca="1" si="55"/>
        <v>6.0205147008746858</v>
      </c>
      <c r="M275" s="1">
        <f t="shared" ca="1" si="56"/>
        <v>12.047832295477747</v>
      </c>
    </row>
    <row r="276" spans="1:13" x14ac:dyDescent="0.4">
      <c r="A276" s="1">
        <f t="shared" ref="A276:A339" ca="1" si="60">L275</f>
        <v>6.0205147008746858</v>
      </c>
      <c r="B276" s="30">
        <f t="shared" ca="1" si="57"/>
        <v>12.047832295477747</v>
      </c>
      <c r="C276" s="30">
        <f t="shared" ca="1" si="50"/>
        <v>0.82012930805923379</v>
      </c>
      <c r="D276" s="30">
        <f t="shared" ref="D276:D339" ca="1" si="61">A276+C276</f>
        <v>6.8406440089339196</v>
      </c>
      <c r="E276" s="30">
        <f t="shared" ca="1" si="58"/>
        <v>30.240151825766134</v>
      </c>
      <c r="F276" s="30">
        <f t="shared" ca="1" si="59"/>
        <v>2.9085094092982211E-2</v>
      </c>
      <c r="G276" s="30">
        <v>274</v>
      </c>
      <c r="H276" s="30">
        <f t="shared" si="51"/>
        <v>6.3685904274894345E-2</v>
      </c>
      <c r="I276" s="30">
        <f t="shared" ca="1" si="52"/>
        <v>18.192319530288387</v>
      </c>
      <c r="J276" s="30">
        <f t="shared" ca="1" si="53"/>
        <v>285.65692420355555</v>
      </c>
      <c r="K276" s="30">
        <f t="shared" ca="1" si="54"/>
        <v>8.7251740882735909E-125</v>
      </c>
      <c r="L276" s="30">
        <f t="shared" ca="1" si="55"/>
        <v>6.0205147008746858</v>
      </c>
      <c r="M276" s="1">
        <f t="shared" ca="1" si="56"/>
        <v>12.047832295477747</v>
      </c>
    </row>
    <row r="277" spans="1:13" x14ac:dyDescent="0.4">
      <c r="A277" s="1">
        <f t="shared" ca="1" si="60"/>
        <v>6.0205147008746858</v>
      </c>
      <c r="B277" s="30">
        <f t="shared" ca="1" si="57"/>
        <v>12.047832295477747</v>
      </c>
      <c r="C277" s="30">
        <f t="shared" ca="1" si="50"/>
        <v>-0.23037247275365469</v>
      </c>
      <c r="D277" s="30">
        <f t="shared" ca="1" si="61"/>
        <v>5.7901422281210309</v>
      </c>
      <c r="E277" s="30">
        <f t="shared" ca="1" si="58"/>
        <v>12.212930985894673</v>
      </c>
      <c r="F277" s="30">
        <f t="shared" ca="1" si="59"/>
        <v>0.41398068043233793</v>
      </c>
      <c r="G277" s="30">
        <v>275</v>
      </c>
      <c r="H277" s="30">
        <f t="shared" si="51"/>
        <v>6.3049045232145384E-2</v>
      </c>
      <c r="I277" s="30">
        <f t="shared" ca="1" si="52"/>
        <v>0.16509869041692582</v>
      </c>
      <c r="J277" s="30">
        <f t="shared" ca="1" si="53"/>
        <v>2.6185755836434255</v>
      </c>
      <c r="K277" s="30">
        <f t="shared" ca="1" si="54"/>
        <v>7.2906638308252211E-2</v>
      </c>
      <c r="L277" s="30">
        <f t="shared" ca="1" si="55"/>
        <v>6.0205147008746858</v>
      </c>
      <c r="M277" s="1">
        <f t="shared" ca="1" si="56"/>
        <v>12.047832295477747</v>
      </c>
    </row>
    <row r="278" spans="1:13" x14ac:dyDescent="0.4">
      <c r="A278" s="1">
        <f t="shared" ca="1" si="60"/>
        <v>6.0205147008746858</v>
      </c>
      <c r="B278" s="30">
        <f t="shared" ca="1" si="57"/>
        <v>12.047832295477747</v>
      </c>
      <c r="C278" s="30">
        <f t="shared" ca="1" si="50"/>
        <v>0.69888016609465486</v>
      </c>
      <c r="D278" s="30">
        <f t="shared" ca="1" si="61"/>
        <v>6.7193948669693402</v>
      </c>
      <c r="E278" s="30">
        <f t="shared" ca="1" si="58"/>
        <v>24.965551070267338</v>
      </c>
      <c r="F278" s="30">
        <f t="shared" ca="1" si="59"/>
        <v>0.43649023812573129</v>
      </c>
      <c r="G278" s="30">
        <v>276</v>
      </c>
      <c r="H278" s="30">
        <f t="shared" si="51"/>
        <v>6.2418554779823943E-2</v>
      </c>
      <c r="I278" s="30">
        <f t="shared" ca="1" si="52"/>
        <v>12.917718774789591</v>
      </c>
      <c r="J278" s="30">
        <f t="shared" ca="1" si="53"/>
        <v>206.95318596138165</v>
      </c>
      <c r="K278" s="30">
        <f t="shared" ca="1" si="54"/>
        <v>1.322431923858943E-90</v>
      </c>
      <c r="L278" s="30">
        <f t="shared" ca="1" si="55"/>
        <v>6.0205147008746858</v>
      </c>
      <c r="M278" s="1">
        <f t="shared" ca="1" si="56"/>
        <v>12.047832295477747</v>
      </c>
    </row>
    <row r="279" spans="1:13" x14ac:dyDescent="0.4">
      <c r="A279" s="1">
        <f t="shared" ca="1" si="60"/>
        <v>6.0205147008746858</v>
      </c>
      <c r="B279" s="30">
        <f t="shared" ca="1" si="57"/>
        <v>12.047832295477747</v>
      </c>
      <c r="C279" s="30">
        <f t="shared" ca="1" si="50"/>
        <v>-0.23276224567242876</v>
      </c>
      <c r="D279" s="30">
        <f t="shared" ca="1" si="61"/>
        <v>5.7877524552022575</v>
      </c>
      <c r="E279" s="30">
        <f t="shared" ca="1" si="58"/>
        <v>12.221826297407461</v>
      </c>
      <c r="F279" s="30">
        <f t="shared" ca="1" si="59"/>
        <v>0.93071157027221607</v>
      </c>
      <c r="G279" s="30">
        <v>277</v>
      </c>
      <c r="H279" s="30">
        <f t="shared" si="51"/>
        <v>6.1794369232025699E-2</v>
      </c>
      <c r="I279" s="30">
        <f t="shared" ca="1" si="52"/>
        <v>0.1739940019297137</v>
      </c>
      <c r="J279" s="30">
        <f t="shared" ca="1" si="53"/>
        <v>2.8156934700053409</v>
      </c>
      <c r="K279" s="30">
        <f t="shared" ca="1" si="54"/>
        <v>5.986319101526754E-2</v>
      </c>
      <c r="L279" s="30">
        <f t="shared" ca="1" si="55"/>
        <v>6.0205147008746858</v>
      </c>
      <c r="M279" s="1">
        <f t="shared" ca="1" si="56"/>
        <v>12.047832295477747</v>
      </c>
    </row>
    <row r="280" spans="1:13" x14ac:dyDescent="0.4">
      <c r="A280" s="1">
        <f t="shared" ca="1" si="60"/>
        <v>6.0205147008746858</v>
      </c>
      <c r="B280" s="30">
        <f t="shared" ca="1" si="57"/>
        <v>12.047832295477747</v>
      </c>
      <c r="C280" s="30">
        <f t="shared" ca="1" si="50"/>
        <v>-0.90703479360417893</v>
      </c>
      <c r="D280" s="30">
        <f t="shared" ca="1" si="61"/>
        <v>5.1134799072705066</v>
      </c>
      <c r="E280" s="30">
        <f t="shared" ca="1" si="58"/>
        <v>17.845456819444507</v>
      </c>
      <c r="F280" s="30">
        <f t="shared" ca="1" si="59"/>
        <v>4.7883892448164489E-2</v>
      </c>
      <c r="G280" s="30">
        <v>278</v>
      </c>
      <c r="H280" s="30">
        <f t="shared" si="51"/>
        <v>6.117642553970544E-2</v>
      </c>
      <c r="I280" s="30">
        <f t="shared" ca="1" si="52"/>
        <v>5.7976245239667605</v>
      </c>
      <c r="J280" s="30">
        <f t="shared" ca="1" si="53"/>
        <v>94.768932196012642</v>
      </c>
      <c r="K280" s="30">
        <f t="shared" ca="1" si="54"/>
        <v>6.9562581645245214E-42</v>
      </c>
      <c r="L280" s="30">
        <f t="shared" ca="1" si="55"/>
        <v>6.0205147008746858</v>
      </c>
      <c r="M280" s="1">
        <f t="shared" ca="1" si="56"/>
        <v>12.047832295477747</v>
      </c>
    </row>
    <row r="281" spans="1:13" x14ac:dyDescent="0.4">
      <c r="A281" s="1">
        <f t="shared" ca="1" si="60"/>
        <v>6.0205147008746858</v>
      </c>
      <c r="B281" s="30">
        <f t="shared" ca="1" si="57"/>
        <v>12.047832295477747</v>
      </c>
      <c r="C281" s="30">
        <f t="shared" ca="1" si="50"/>
        <v>-0.12512816247481706</v>
      </c>
      <c r="D281" s="30">
        <f t="shared" ca="1" si="61"/>
        <v>5.8953865383998689</v>
      </c>
      <c r="E281" s="30">
        <f t="shared" ca="1" si="58"/>
        <v>11.956837370989888</v>
      </c>
      <c r="F281" s="30">
        <f t="shared" ca="1" si="59"/>
        <v>0.24799907107409691</v>
      </c>
      <c r="G281" s="30">
        <v>279</v>
      </c>
      <c r="H281" s="30">
        <f t="shared" si="51"/>
        <v>6.0564661284308388E-2</v>
      </c>
      <c r="I281" s="30">
        <f t="shared" ca="1" si="52"/>
        <v>-9.0994924487858952E-2</v>
      </c>
      <c r="J281" s="30">
        <f t="shared" ca="1" si="53"/>
        <v>-1.502442555745535</v>
      </c>
      <c r="K281" s="30">
        <f t="shared" ca="1" si="54"/>
        <v>0</v>
      </c>
      <c r="L281" s="30">
        <f t="shared" ca="1" si="55"/>
        <v>5.8953865383998689</v>
      </c>
      <c r="M281" s="1">
        <f t="shared" ca="1" si="56"/>
        <v>11.956837370989888</v>
      </c>
    </row>
    <row r="282" spans="1:13" x14ac:dyDescent="0.4">
      <c r="A282" s="1">
        <f t="shared" ca="1" si="60"/>
        <v>5.8953865383998689</v>
      </c>
      <c r="B282" s="30">
        <f t="shared" ca="1" si="57"/>
        <v>11.956837370989888</v>
      </c>
      <c r="C282" s="30">
        <f t="shared" ca="1" si="50"/>
        <v>-0.95288075144290407</v>
      </c>
      <c r="D282" s="30">
        <f t="shared" ca="1" si="61"/>
        <v>4.9425057869569651</v>
      </c>
      <c r="E282" s="30">
        <f t="shared" ca="1" si="58"/>
        <v>19.567581680326839</v>
      </c>
      <c r="F282" s="30">
        <f t="shared" ca="1" si="59"/>
        <v>0.95667011628596488</v>
      </c>
      <c r="G282" s="30">
        <v>280</v>
      </c>
      <c r="H282" s="30">
        <f t="shared" si="51"/>
        <v>5.9959014671465298E-2</v>
      </c>
      <c r="I282" s="30">
        <f t="shared" ca="1" si="52"/>
        <v>7.6107443093369511</v>
      </c>
      <c r="J282" s="30">
        <f t="shared" ca="1" si="53"/>
        <v>126.93244462135785</v>
      </c>
      <c r="K282" s="30">
        <f t="shared" ca="1" si="54"/>
        <v>7.4806567303591825E-56</v>
      </c>
      <c r="L282" s="30">
        <f t="shared" ca="1" si="55"/>
        <v>5.8953865383998689</v>
      </c>
      <c r="M282" s="1">
        <f t="shared" ca="1" si="56"/>
        <v>11.956837370989888</v>
      </c>
    </row>
    <row r="283" spans="1:13" x14ac:dyDescent="0.4">
      <c r="A283" s="1">
        <f t="shared" ca="1" si="60"/>
        <v>5.8953865383998689</v>
      </c>
      <c r="B283" s="30">
        <f t="shared" ca="1" si="57"/>
        <v>11.956837370989888</v>
      </c>
      <c r="C283" s="30">
        <f t="shared" ca="1" si="50"/>
        <v>-0.95770579173055204</v>
      </c>
      <c r="D283" s="30">
        <f t="shared" ca="1" si="61"/>
        <v>4.9376807466693169</v>
      </c>
      <c r="E283" s="30">
        <f t="shared" ca="1" si="58"/>
        <v>19.614472123200017</v>
      </c>
      <c r="F283" s="30">
        <f t="shared" ca="1" si="59"/>
        <v>4.0010977245650614E-2</v>
      </c>
      <c r="G283" s="30">
        <v>281</v>
      </c>
      <c r="H283" s="30">
        <f t="shared" si="51"/>
        <v>5.9359424524750647E-2</v>
      </c>
      <c r="I283" s="30">
        <f t="shared" ca="1" si="52"/>
        <v>7.6576347522101287</v>
      </c>
      <c r="J283" s="30">
        <f t="shared" ca="1" si="53"/>
        <v>129.00453152164883</v>
      </c>
      <c r="K283" s="30">
        <f t="shared" ca="1" si="54"/>
        <v>9.4198463650422645E-57</v>
      </c>
      <c r="L283" s="30">
        <f t="shared" ca="1" si="55"/>
        <v>5.8953865383998689</v>
      </c>
      <c r="M283" s="1">
        <f t="shared" ca="1" si="56"/>
        <v>11.956837370989888</v>
      </c>
    </row>
    <row r="284" spans="1:13" x14ac:dyDescent="0.4">
      <c r="A284" s="1">
        <f t="shared" ca="1" si="60"/>
        <v>5.8953865383998689</v>
      </c>
      <c r="B284" s="30">
        <f t="shared" ca="1" si="57"/>
        <v>11.956837370989888</v>
      </c>
      <c r="C284" s="30">
        <f t="shared" ca="1" si="50"/>
        <v>0.72429279833414917</v>
      </c>
      <c r="D284" s="30">
        <f t="shared" ca="1" si="61"/>
        <v>6.6196793367340181</v>
      </c>
      <c r="E284" s="30">
        <f t="shared" ca="1" si="58"/>
        <v>21.434523483148268</v>
      </c>
      <c r="F284" s="30">
        <f t="shared" ca="1" si="59"/>
        <v>0.11700890151685051</v>
      </c>
      <c r="G284" s="30">
        <v>282</v>
      </c>
      <c r="H284" s="30">
        <f t="shared" si="51"/>
        <v>5.8765830279503141E-2</v>
      </c>
      <c r="I284" s="30">
        <f t="shared" ca="1" si="52"/>
        <v>9.4776861121583806</v>
      </c>
      <c r="J284" s="30">
        <f t="shared" ca="1" si="53"/>
        <v>161.27885996131482</v>
      </c>
      <c r="K284" s="30">
        <f t="shared" ca="1" si="54"/>
        <v>9.0673644336143393E-71</v>
      </c>
      <c r="L284" s="30">
        <f t="shared" ca="1" si="55"/>
        <v>5.8953865383998689</v>
      </c>
      <c r="M284" s="1">
        <f t="shared" ca="1" si="56"/>
        <v>11.956837370989888</v>
      </c>
    </row>
    <row r="285" spans="1:13" x14ac:dyDescent="0.4">
      <c r="A285" s="1">
        <f t="shared" ca="1" si="60"/>
        <v>5.8953865383998689</v>
      </c>
      <c r="B285" s="30">
        <f t="shared" ca="1" si="57"/>
        <v>11.956837370989888</v>
      </c>
      <c r="C285" s="30">
        <f t="shared" ca="1" si="50"/>
        <v>-0.35100693986861353</v>
      </c>
      <c r="D285" s="30">
        <f t="shared" ca="1" si="61"/>
        <v>5.5443795985312558</v>
      </c>
      <c r="E285" s="30">
        <f t="shared" ca="1" si="58"/>
        <v>13.696634256519474</v>
      </c>
      <c r="F285" s="30">
        <f t="shared" ca="1" si="59"/>
        <v>0.37991246111385657</v>
      </c>
      <c r="G285" s="30">
        <v>283</v>
      </c>
      <c r="H285" s="30">
        <f t="shared" si="51"/>
        <v>5.8178171976708111E-2</v>
      </c>
      <c r="I285" s="30">
        <f t="shared" ca="1" si="52"/>
        <v>1.7397968855295858</v>
      </c>
      <c r="J285" s="30">
        <f t="shared" ca="1" si="53"/>
        <v>29.904633067985039</v>
      </c>
      <c r="K285" s="30">
        <f t="shared" ca="1" si="54"/>
        <v>1.0293969454669807E-13</v>
      </c>
      <c r="L285" s="30">
        <f t="shared" ca="1" si="55"/>
        <v>5.8953865383998689</v>
      </c>
      <c r="M285" s="1">
        <f t="shared" ca="1" si="56"/>
        <v>11.956837370989888</v>
      </c>
    </row>
    <row r="286" spans="1:13" x14ac:dyDescent="0.4">
      <c r="A286" s="1">
        <f t="shared" ca="1" si="60"/>
        <v>5.8953865383998689</v>
      </c>
      <c r="B286" s="30">
        <f t="shared" ca="1" si="57"/>
        <v>11.956837370989888</v>
      </c>
      <c r="C286" s="30">
        <f t="shared" ca="1" si="50"/>
        <v>-0.39651537973899509</v>
      </c>
      <c r="D286" s="30">
        <f t="shared" ca="1" si="61"/>
        <v>5.4988711586608741</v>
      </c>
      <c r="E286" s="30">
        <f t="shared" ca="1" si="58"/>
        <v>14.072102151308854</v>
      </c>
      <c r="F286" s="30">
        <f t="shared" ca="1" si="59"/>
        <v>0.37816520250562358</v>
      </c>
      <c r="G286" s="30">
        <v>284</v>
      </c>
      <c r="H286" s="30">
        <f t="shared" si="51"/>
        <v>5.7596390256941021E-2</v>
      </c>
      <c r="I286" s="30">
        <f t="shared" ca="1" si="52"/>
        <v>2.1152647803189666</v>
      </c>
      <c r="J286" s="30">
        <f t="shared" ca="1" si="53"/>
        <v>36.725648445721006</v>
      </c>
      <c r="K286" s="30">
        <f t="shared" ca="1" si="54"/>
        <v>1.1226736659221075E-16</v>
      </c>
      <c r="L286" s="30">
        <f t="shared" ca="1" si="55"/>
        <v>5.8953865383998689</v>
      </c>
      <c r="M286" s="1">
        <f t="shared" ca="1" si="56"/>
        <v>11.956837370989888</v>
      </c>
    </row>
    <row r="287" spans="1:13" x14ac:dyDescent="0.4">
      <c r="A287" s="1">
        <f t="shared" ca="1" si="60"/>
        <v>5.8953865383998689</v>
      </c>
      <c r="B287" s="30">
        <f t="shared" ca="1" si="57"/>
        <v>11.956837370989888</v>
      </c>
      <c r="C287" s="30">
        <f t="shared" ca="1" si="50"/>
        <v>-0.37980067057195566</v>
      </c>
      <c r="D287" s="30">
        <f t="shared" ca="1" si="61"/>
        <v>5.5155858678279133</v>
      </c>
      <c r="E287" s="30">
        <f t="shared" ca="1" si="58"/>
        <v>13.931378955136552</v>
      </c>
      <c r="F287" s="30">
        <f t="shared" ca="1" si="59"/>
        <v>0.24004799147753442</v>
      </c>
      <c r="G287" s="30">
        <v>285</v>
      </c>
      <c r="H287" s="30">
        <f t="shared" si="51"/>
        <v>5.7020426354371608E-2</v>
      </c>
      <c r="I287" s="30">
        <f t="shared" ca="1" si="52"/>
        <v>1.9745415841466638</v>
      </c>
      <c r="J287" s="30">
        <f t="shared" ca="1" si="53"/>
        <v>34.628670993711026</v>
      </c>
      <c r="K287" s="30">
        <f t="shared" ca="1" si="54"/>
        <v>9.1402751979135954E-16</v>
      </c>
      <c r="L287" s="30">
        <f t="shared" ca="1" si="55"/>
        <v>5.8953865383998689</v>
      </c>
      <c r="M287" s="1">
        <f t="shared" ca="1" si="56"/>
        <v>11.956837370989888</v>
      </c>
    </row>
    <row r="288" spans="1:13" x14ac:dyDescent="0.4">
      <c r="A288" s="1">
        <f t="shared" ca="1" si="60"/>
        <v>5.8953865383998689</v>
      </c>
      <c r="B288" s="30">
        <f t="shared" ca="1" si="57"/>
        <v>11.956837370989888</v>
      </c>
      <c r="C288" s="30">
        <f t="shared" ca="1" si="50"/>
        <v>0.27185917739805254</v>
      </c>
      <c r="D288" s="30">
        <f t="shared" ca="1" si="61"/>
        <v>6.1672457157979217</v>
      </c>
      <c r="E288" s="30">
        <f t="shared" ca="1" si="58"/>
        <v>12.820236299458657</v>
      </c>
      <c r="F288" s="30">
        <f t="shared" ca="1" si="59"/>
        <v>0.70389928963658732</v>
      </c>
      <c r="G288" s="30">
        <v>286</v>
      </c>
      <c r="H288" s="30">
        <f t="shared" si="51"/>
        <v>5.6450222090827902E-2</v>
      </c>
      <c r="I288" s="30">
        <f t="shared" ca="1" si="52"/>
        <v>0.86339892846876864</v>
      </c>
      <c r="J288" s="30">
        <f t="shared" ca="1" si="53"/>
        <v>15.294872127864572</v>
      </c>
      <c r="K288" s="30">
        <f t="shared" ca="1" si="54"/>
        <v>2.2778306553754105E-7</v>
      </c>
      <c r="L288" s="30">
        <f t="shared" ca="1" si="55"/>
        <v>5.8953865383998689</v>
      </c>
      <c r="M288" s="1">
        <f t="shared" ca="1" si="56"/>
        <v>11.956837370989888</v>
      </c>
    </row>
    <row r="289" spans="1:13" x14ac:dyDescent="0.4">
      <c r="A289" s="1">
        <f t="shared" ca="1" si="60"/>
        <v>5.8953865383998689</v>
      </c>
      <c r="B289" s="30">
        <f t="shared" ca="1" si="57"/>
        <v>11.956837370989888</v>
      </c>
      <c r="C289" s="30">
        <f t="shared" ca="1" si="50"/>
        <v>-8.2244782275582518E-2</v>
      </c>
      <c r="D289" s="30">
        <f t="shared" ca="1" si="61"/>
        <v>5.8131417561242866</v>
      </c>
      <c r="E289" s="30">
        <f t="shared" ca="1" si="58"/>
        <v>12.133963947919483</v>
      </c>
      <c r="F289" s="30">
        <f t="shared" ca="1" si="59"/>
        <v>0.55216281550783042</v>
      </c>
      <c r="G289" s="30">
        <v>287</v>
      </c>
      <c r="H289" s="30">
        <f t="shared" si="51"/>
        <v>5.5885719869919616E-2</v>
      </c>
      <c r="I289" s="30">
        <f t="shared" ca="1" si="52"/>
        <v>0.1771265769295951</v>
      </c>
      <c r="J289" s="30">
        <f t="shared" ca="1" si="53"/>
        <v>3.1694425220231106</v>
      </c>
      <c r="K289" s="30">
        <f t="shared" ca="1" si="54"/>
        <v>4.202702051241456E-2</v>
      </c>
      <c r="L289" s="30">
        <f t="shared" ca="1" si="55"/>
        <v>5.8953865383998689</v>
      </c>
      <c r="M289" s="1">
        <f t="shared" ca="1" si="56"/>
        <v>11.956837370989888</v>
      </c>
    </row>
    <row r="290" spans="1:13" x14ac:dyDescent="0.4">
      <c r="A290" s="1">
        <f t="shared" ca="1" si="60"/>
        <v>5.8953865383998689</v>
      </c>
      <c r="B290" s="30">
        <f t="shared" ca="1" si="57"/>
        <v>11.956837370989888</v>
      </c>
      <c r="C290" s="30">
        <f t="shared" ca="1" si="50"/>
        <v>-0.48181891547363964</v>
      </c>
      <c r="D290" s="30">
        <f t="shared" ca="1" si="61"/>
        <v>5.4135676229262293</v>
      </c>
      <c r="E290" s="30">
        <f t="shared" ca="1" si="58"/>
        <v>14.834444883888636</v>
      </c>
      <c r="F290" s="30">
        <f t="shared" ca="1" si="59"/>
        <v>0.51010732437449735</v>
      </c>
      <c r="G290" s="30">
        <v>288</v>
      </c>
      <c r="H290" s="30">
        <f t="shared" si="51"/>
        <v>5.5326862671220417E-2</v>
      </c>
      <c r="I290" s="30">
        <f t="shared" ca="1" si="52"/>
        <v>2.8776075128987486</v>
      </c>
      <c r="J290" s="30">
        <f t="shared" ca="1" si="53"/>
        <v>52.01103720626481</v>
      </c>
      <c r="K290" s="30">
        <f t="shared" ca="1" si="54"/>
        <v>2.5816272898315616E-23</v>
      </c>
      <c r="L290" s="30">
        <f t="shared" ca="1" si="55"/>
        <v>5.8953865383998689</v>
      </c>
      <c r="M290" s="1">
        <f t="shared" ca="1" si="56"/>
        <v>11.956837370989888</v>
      </c>
    </row>
    <row r="291" spans="1:13" x14ac:dyDescent="0.4">
      <c r="A291" s="1">
        <f t="shared" ca="1" si="60"/>
        <v>5.8953865383998689</v>
      </c>
      <c r="B291" s="30">
        <f t="shared" ca="1" si="57"/>
        <v>11.956837370989888</v>
      </c>
      <c r="C291" s="30">
        <f t="shared" ca="1" si="50"/>
        <v>0.93655754267008051</v>
      </c>
      <c r="D291" s="30">
        <f t="shared" ca="1" si="61"/>
        <v>6.831944081069949</v>
      </c>
      <c r="E291" s="30">
        <f t="shared" ca="1" si="58"/>
        <v>29.82354268832637</v>
      </c>
      <c r="F291" s="30">
        <f t="shared" ca="1" si="59"/>
        <v>0.42342863066481073</v>
      </c>
      <c r="G291" s="30">
        <v>289</v>
      </c>
      <c r="H291" s="30">
        <f t="shared" si="51"/>
        <v>5.4773594044508211E-2</v>
      </c>
      <c r="I291" s="30">
        <f t="shared" ca="1" si="52"/>
        <v>17.866705317336482</v>
      </c>
      <c r="J291" s="30">
        <f t="shared" ca="1" si="53"/>
        <v>326.19194758003761</v>
      </c>
      <c r="K291" s="30">
        <f t="shared" ca="1" si="54"/>
        <v>2.1708865339584177E-142</v>
      </c>
      <c r="L291" s="30">
        <f t="shared" ca="1" si="55"/>
        <v>5.8953865383998689</v>
      </c>
      <c r="M291" s="1">
        <f t="shared" ca="1" si="56"/>
        <v>11.956837370989888</v>
      </c>
    </row>
    <row r="292" spans="1:13" x14ac:dyDescent="0.4">
      <c r="A292" s="1">
        <f t="shared" ca="1" si="60"/>
        <v>5.8953865383998689</v>
      </c>
      <c r="B292" s="30">
        <f t="shared" ca="1" si="57"/>
        <v>11.956837370989888</v>
      </c>
      <c r="C292" s="30">
        <f t="shared" ca="1" si="50"/>
        <v>-0.28587471394496711</v>
      </c>
      <c r="D292" s="30">
        <f t="shared" ca="1" si="61"/>
        <v>5.609511824454902</v>
      </c>
      <c r="E292" s="30">
        <f t="shared" ca="1" si="58"/>
        <v>13.205634085194561</v>
      </c>
      <c r="F292" s="30">
        <f t="shared" ca="1" si="59"/>
        <v>0.54058792541683653</v>
      </c>
      <c r="G292" s="30">
        <v>290</v>
      </c>
      <c r="H292" s="30">
        <f t="shared" si="51"/>
        <v>5.4225858104063135E-2</v>
      </c>
      <c r="I292" s="30">
        <f t="shared" ca="1" si="52"/>
        <v>1.2487967142046728</v>
      </c>
      <c r="J292" s="30">
        <f t="shared" ca="1" si="53"/>
        <v>23.02954269175688</v>
      </c>
      <c r="K292" s="30">
        <f t="shared" ca="1" si="54"/>
        <v>9.9631504435806321E-11</v>
      </c>
      <c r="L292" s="30">
        <f t="shared" ca="1" si="55"/>
        <v>5.8953865383998689</v>
      </c>
      <c r="M292" s="1">
        <f t="shared" ca="1" si="56"/>
        <v>11.956837370989888</v>
      </c>
    </row>
    <row r="293" spans="1:13" x14ac:dyDescent="0.4">
      <c r="A293" s="1">
        <f t="shared" ca="1" si="60"/>
        <v>5.8953865383998689</v>
      </c>
      <c r="B293" s="30">
        <f t="shared" ca="1" si="57"/>
        <v>11.956837370989888</v>
      </c>
      <c r="C293" s="30">
        <f t="shared" ca="1" si="50"/>
        <v>0.56935716484638399</v>
      </c>
      <c r="D293" s="30">
        <f t="shared" ca="1" si="61"/>
        <v>6.4647437032462527</v>
      </c>
      <c r="E293" s="30">
        <f t="shared" ca="1" si="58"/>
        <v>17.234952727144901</v>
      </c>
      <c r="F293" s="30">
        <f t="shared" ca="1" si="59"/>
        <v>0.58841458250046696</v>
      </c>
      <c r="G293" s="30">
        <v>291</v>
      </c>
      <c r="H293" s="30">
        <f t="shared" si="51"/>
        <v>5.3683599523022499E-2</v>
      </c>
      <c r="I293" s="30">
        <f t="shared" ca="1" si="52"/>
        <v>5.2781153561550127</v>
      </c>
      <c r="J293" s="30">
        <f t="shared" ca="1" si="53"/>
        <v>98.318954076308998</v>
      </c>
      <c r="K293" s="30">
        <f t="shared" ca="1" si="54"/>
        <v>1.9981163713216207E-43</v>
      </c>
      <c r="L293" s="30">
        <f t="shared" ca="1" si="55"/>
        <v>5.8953865383998689</v>
      </c>
      <c r="M293" s="1">
        <f t="shared" ca="1" si="56"/>
        <v>11.956837370989888</v>
      </c>
    </row>
    <row r="294" spans="1:13" x14ac:dyDescent="0.4">
      <c r="A294" s="1">
        <f t="shared" ca="1" si="60"/>
        <v>5.8953865383998689</v>
      </c>
      <c r="B294" s="30">
        <f t="shared" ca="1" si="57"/>
        <v>11.956837370989888</v>
      </c>
      <c r="C294" s="30">
        <f t="shared" ca="1" si="50"/>
        <v>-0.95169228111310478</v>
      </c>
      <c r="D294" s="30">
        <f t="shared" ca="1" si="61"/>
        <v>4.9436942572867641</v>
      </c>
      <c r="E294" s="30">
        <f t="shared" ca="1" si="58"/>
        <v>19.556012772200233</v>
      </c>
      <c r="F294" s="30">
        <f t="shared" ca="1" si="59"/>
        <v>0.74026554759093854</v>
      </c>
      <c r="G294" s="30">
        <v>292</v>
      </c>
      <c r="H294" s="30">
        <f t="shared" si="51"/>
        <v>5.3146763527792275E-2</v>
      </c>
      <c r="I294" s="30">
        <f t="shared" ca="1" si="52"/>
        <v>7.5991754012103456</v>
      </c>
      <c r="J294" s="30">
        <f t="shared" ca="1" si="53"/>
        <v>142.9847256312508</v>
      </c>
      <c r="K294" s="30">
        <f t="shared" ca="1" si="54"/>
        <v>7.9895563084109714E-63</v>
      </c>
      <c r="L294" s="30">
        <f t="shared" ca="1" si="55"/>
        <v>5.8953865383998689</v>
      </c>
      <c r="M294" s="1">
        <f t="shared" ca="1" si="56"/>
        <v>11.956837370989888</v>
      </c>
    </row>
    <row r="295" spans="1:13" x14ac:dyDescent="0.4">
      <c r="A295" s="1">
        <f t="shared" ca="1" si="60"/>
        <v>5.8953865383998689</v>
      </c>
      <c r="B295" s="30">
        <f t="shared" ca="1" si="57"/>
        <v>11.956837370989888</v>
      </c>
      <c r="C295" s="30">
        <f t="shared" ca="1" si="50"/>
        <v>0.4208103433942918</v>
      </c>
      <c r="D295" s="30">
        <f t="shared" ca="1" si="61"/>
        <v>6.3161968817941609</v>
      </c>
      <c r="E295" s="30">
        <f t="shared" ca="1" si="58"/>
        <v>14.494985444400982</v>
      </c>
      <c r="F295" s="30">
        <f t="shared" ca="1" si="59"/>
        <v>0.25406798500550432</v>
      </c>
      <c r="G295" s="30">
        <v>293</v>
      </c>
      <c r="H295" s="30">
        <f t="shared" si="51"/>
        <v>5.2615295892514354E-2</v>
      </c>
      <c r="I295" s="30">
        <f t="shared" ca="1" si="52"/>
        <v>2.5381480734110937</v>
      </c>
      <c r="J295" s="30">
        <f t="shared" ca="1" si="53"/>
        <v>48.239737710421188</v>
      </c>
      <c r="K295" s="30">
        <f t="shared" ca="1" si="54"/>
        <v>1.1213678586093656E-21</v>
      </c>
      <c r="L295" s="30">
        <f t="shared" ca="1" si="55"/>
        <v>5.8953865383998689</v>
      </c>
      <c r="M295" s="1">
        <f t="shared" ca="1" si="56"/>
        <v>11.956837370989888</v>
      </c>
    </row>
    <row r="296" spans="1:13" x14ac:dyDescent="0.4">
      <c r="A296" s="1">
        <f t="shared" ca="1" si="60"/>
        <v>5.8953865383998689</v>
      </c>
      <c r="B296" s="30">
        <f t="shared" ca="1" si="57"/>
        <v>11.956837370989888</v>
      </c>
      <c r="C296" s="30">
        <f t="shared" ca="1" si="50"/>
        <v>0.37401463397848156</v>
      </c>
      <c r="D296" s="30">
        <f t="shared" ca="1" si="61"/>
        <v>6.26940117237835</v>
      </c>
      <c r="E296" s="30">
        <f t="shared" ca="1" si="58"/>
        <v>13.861720244507296</v>
      </c>
      <c r="F296" s="30">
        <f t="shared" ca="1" si="59"/>
        <v>0.76322535147332027</v>
      </c>
      <c r="G296" s="30">
        <v>294</v>
      </c>
      <c r="H296" s="30">
        <f t="shared" si="51"/>
        <v>5.2089142933589211E-2</v>
      </c>
      <c r="I296" s="30">
        <f t="shared" ca="1" si="52"/>
        <v>1.9048828735174084</v>
      </c>
      <c r="J296" s="30">
        <f t="shared" ca="1" si="53"/>
        <v>36.569672032155133</v>
      </c>
      <c r="K296" s="30">
        <f t="shared" ca="1" si="54"/>
        <v>1.3121794482496046E-16</v>
      </c>
      <c r="L296" s="30">
        <f t="shared" ca="1" si="55"/>
        <v>5.8953865383998689</v>
      </c>
      <c r="M296" s="1">
        <f t="shared" ca="1" si="56"/>
        <v>11.956837370989888</v>
      </c>
    </row>
    <row r="297" spans="1:13" x14ac:dyDescent="0.4">
      <c r="A297" s="1">
        <f t="shared" ca="1" si="60"/>
        <v>5.8953865383998689</v>
      </c>
      <c r="B297" s="30">
        <f t="shared" ca="1" si="57"/>
        <v>11.956837370989888</v>
      </c>
      <c r="C297" s="30">
        <f t="shared" ca="1" si="50"/>
        <v>-0.46550568578074691</v>
      </c>
      <c r="D297" s="30">
        <f t="shared" ca="1" si="61"/>
        <v>5.4298808526191218</v>
      </c>
      <c r="E297" s="30">
        <f t="shared" ca="1" si="58"/>
        <v>14.68351022149136</v>
      </c>
      <c r="F297" s="30">
        <f t="shared" ca="1" si="59"/>
        <v>0.76465574668544978</v>
      </c>
      <c r="G297" s="30">
        <v>295</v>
      </c>
      <c r="H297" s="30">
        <f t="shared" si="51"/>
        <v>5.1568251504253315E-2</v>
      </c>
      <c r="I297" s="30">
        <f t="shared" ca="1" si="52"/>
        <v>2.7266728505014726</v>
      </c>
      <c r="J297" s="30">
        <f t="shared" ca="1" si="53"/>
        <v>52.875030100188262</v>
      </c>
      <c r="K297" s="30">
        <f t="shared" ca="1" si="54"/>
        <v>1.0880934525955249E-23</v>
      </c>
      <c r="L297" s="30">
        <f t="shared" ca="1" si="55"/>
        <v>5.8953865383998689</v>
      </c>
      <c r="M297" s="1">
        <f t="shared" ca="1" si="56"/>
        <v>11.956837370989888</v>
      </c>
    </row>
    <row r="298" spans="1:13" x14ac:dyDescent="0.4">
      <c r="A298" s="1">
        <f t="shared" ca="1" si="60"/>
        <v>5.8953865383998689</v>
      </c>
      <c r="B298" s="30">
        <f t="shared" ca="1" si="57"/>
        <v>11.956837370989888</v>
      </c>
      <c r="C298" s="30">
        <f t="shared" ca="1" si="50"/>
        <v>-0.94945100476927546</v>
      </c>
      <c r="D298" s="30">
        <f t="shared" ca="1" si="61"/>
        <v>4.9459355336305935</v>
      </c>
      <c r="E298" s="30">
        <f t="shared" ca="1" si="58"/>
        <v>19.534175159878487</v>
      </c>
      <c r="F298" s="30">
        <f t="shared" ca="1" si="59"/>
        <v>8.0224904709628397E-2</v>
      </c>
      <c r="G298" s="30">
        <v>296</v>
      </c>
      <c r="H298" s="30">
        <f t="shared" si="51"/>
        <v>5.1052568989210775E-2</v>
      </c>
      <c r="I298" s="30">
        <f t="shared" ca="1" si="52"/>
        <v>7.5773377888885989</v>
      </c>
      <c r="J298" s="30">
        <f t="shared" ca="1" si="53"/>
        <v>148.42226236430844</v>
      </c>
      <c r="K298" s="30">
        <f t="shared" ca="1" si="54"/>
        <v>3.475605402204414E-65</v>
      </c>
      <c r="L298" s="30">
        <f t="shared" ca="1" si="55"/>
        <v>5.8953865383998689</v>
      </c>
      <c r="M298" s="1">
        <f t="shared" ca="1" si="56"/>
        <v>11.956837370989888</v>
      </c>
    </row>
    <row r="299" spans="1:13" x14ac:dyDescent="0.4">
      <c r="A299" s="1">
        <f t="shared" ca="1" si="60"/>
        <v>5.8953865383998689</v>
      </c>
      <c r="B299" s="30">
        <f t="shared" ca="1" si="57"/>
        <v>11.956837370989888</v>
      </c>
      <c r="C299" s="30">
        <f t="shared" ca="1" si="50"/>
        <v>0.72802711288138577</v>
      </c>
      <c r="D299" s="30">
        <f t="shared" ca="1" si="61"/>
        <v>6.6234136512812549</v>
      </c>
      <c r="E299" s="30">
        <f t="shared" ca="1" si="58"/>
        <v>21.554475898615237</v>
      </c>
      <c r="F299" s="30">
        <f t="shared" ca="1" si="59"/>
        <v>0.27939000832443972</v>
      </c>
      <c r="G299" s="30">
        <v>297</v>
      </c>
      <c r="H299" s="30">
        <f t="shared" si="51"/>
        <v>5.0542043299318669E-2</v>
      </c>
      <c r="I299" s="30">
        <f t="shared" ca="1" si="52"/>
        <v>9.5976385276253495</v>
      </c>
      <c r="J299" s="30">
        <f t="shared" ca="1" si="53"/>
        <v>189.89415348300196</v>
      </c>
      <c r="K299" s="30">
        <f t="shared" ca="1" si="54"/>
        <v>3.3885741747712052E-83</v>
      </c>
      <c r="L299" s="30">
        <f t="shared" ca="1" si="55"/>
        <v>5.8953865383998689</v>
      </c>
      <c r="M299" s="1">
        <f t="shared" ca="1" si="56"/>
        <v>11.956837370989888</v>
      </c>
    </row>
    <row r="300" spans="1:13" x14ac:dyDescent="0.4">
      <c r="A300" s="1">
        <f t="shared" ca="1" si="60"/>
        <v>5.8953865383998689</v>
      </c>
      <c r="B300" s="30">
        <f t="shared" ca="1" si="57"/>
        <v>11.956837370989888</v>
      </c>
      <c r="C300" s="30">
        <f t="shared" ca="1" si="50"/>
        <v>0.13400538652859173</v>
      </c>
      <c r="D300" s="30">
        <f t="shared" ca="1" si="61"/>
        <v>6.0293919249284604</v>
      </c>
      <c r="E300" s="30">
        <f t="shared" ca="1" si="58"/>
        <v>12.072809890173858</v>
      </c>
      <c r="F300" s="30">
        <f t="shared" ca="1" si="59"/>
        <v>0.71144552080419199</v>
      </c>
      <c r="G300" s="30">
        <v>298</v>
      </c>
      <c r="H300" s="30">
        <f t="shared" si="51"/>
        <v>5.0036622866325479E-2</v>
      </c>
      <c r="I300" s="30">
        <f t="shared" ca="1" si="52"/>
        <v>0.11597251918396978</v>
      </c>
      <c r="J300" s="30">
        <f t="shared" ca="1" si="53"/>
        <v>2.3177527287122128</v>
      </c>
      <c r="K300" s="30">
        <f t="shared" ca="1" si="54"/>
        <v>9.8494681349649574E-2</v>
      </c>
      <c r="L300" s="30">
        <f t="shared" ca="1" si="55"/>
        <v>5.8953865383998689</v>
      </c>
      <c r="M300" s="1">
        <f t="shared" ca="1" si="56"/>
        <v>11.956837370989888</v>
      </c>
    </row>
    <row r="301" spans="1:13" x14ac:dyDescent="0.4">
      <c r="A301" s="1">
        <f t="shared" ca="1" si="60"/>
        <v>5.8953865383998689</v>
      </c>
      <c r="B301" s="30">
        <f t="shared" ca="1" si="57"/>
        <v>11.956837370989888</v>
      </c>
      <c r="C301" s="30">
        <f t="shared" ca="1" si="50"/>
        <v>-0.24237163399718087</v>
      </c>
      <c r="D301" s="30">
        <f t="shared" ca="1" si="61"/>
        <v>5.6530149044026885</v>
      </c>
      <c r="E301" s="30">
        <f t="shared" ca="1" si="58"/>
        <v>12.912691835506621</v>
      </c>
      <c r="F301" s="30">
        <f t="shared" ca="1" si="59"/>
        <v>0.78746377698143399</v>
      </c>
      <c r="G301" s="30">
        <v>299</v>
      </c>
      <c r="H301" s="30">
        <f t="shared" si="51"/>
        <v>4.9536256637662222E-2</v>
      </c>
      <c r="I301" s="30">
        <f t="shared" ca="1" si="52"/>
        <v>0.95585446451673306</v>
      </c>
      <c r="J301" s="30">
        <f t="shared" ca="1" si="53"/>
        <v>19.296057663549824</v>
      </c>
      <c r="K301" s="30">
        <f t="shared" ca="1" si="54"/>
        <v>4.1670492582159187E-9</v>
      </c>
      <c r="L301" s="30">
        <f t="shared" ca="1" si="55"/>
        <v>5.8953865383998689</v>
      </c>
      <c r="M301" s="1">
        <f t="shared" ca="1" si="56"/>
        <v>11.956837370989888</v>
      </c>
    </row>
    <row r="302" spans="1:13" x14ac:dyDescent="0.4">
      <c r="A302" s="1">
        <f t="shared" ca="1" si="60"/>
        <v>5.8953865383998689</v>
      </c>
      <c r="B302" s="30">
        <f t="shared" ca="1" si="57"/>
        <v>11.956837370989888</v>
      </c>
      <c r="C302" s="30">
        <f t="shared" ca="1" si="50"/>
        <v>-5.8905102163605338E-2</v>
      </c>
      <c r="D302" s="30">
        <f t="shared" ca="1" si="61"/>
        <v>5.836481436236264</v>
      </c>
      <c r="E302" s="30">
        <f t="shared" ca="1" si="58"/>
        <v>12.066513247011699</v>
      </c>
      <c r="F302" s="30">
        <f t="shared" ca="1" si="59"/>
        <v>2.9742373510175946E-2</v>
      </c>
      <c r="G302" s="30">
        <v>300</v>
      </c>
      <c r="H302" s="30">
        <f t="shared" si="51"/>
        <v>4.9040894071285611E-2</v>
      </c>
      <c r="I302" s="30">
        <f t="shared" ca="1" si="52"/>
        <v>0.10967587602181084</v>
      </c>
      <c r="J302" s="30">
        <f t="shared" ca="1" si="53"/>
        <v>2.2364167313586596</v>
      </c>
      <c r="K302" s="30">
        <f t="shared" ca="1" si="54"/>
        <v>0.10684065807036933</v>
      </c>
      <c r="L302" s="30">
        <f t="shared" ca="1" si="55"/>
        <v>5.836481436236264</v>
      </c>
      <c r="M302" s="1">
        <f t="shared" ca="1" si="56"/>
        <v>12.066513247011699</v>
      </c>
    </row>
    <row r="303" spans="1:13" x14ac:dyDescent="0.4">
      <c r="A303" s="1">
        <f t="shared" ca="1" si="60"/>
        <v>5.836481436236264</v>
      </c>
      <c r="B303" s="30">
        <f t="shared" ca="1" si="57"/>
        <v>12.066513247011699</v>
      </c>
      <c r="C303" s="30">
        <f t="shared" ca="1" si="50"/>
        <v>0.34668749058240023</v>
      </c>
      <c r="D303" s="30">
        <f t="shared" ca="1" si="61"/>
        <v>6.1831689268186647</v>
      </c>
      <c r="E303" s="30">
        <f t="shared" ca="1" si="58"/>
        <v>12.953440999525355</v>
      </c>
      <c r="F303" s="30">
        <f t="shared" ca="1" si="59"/>
        <v>0.52483572965826919</v>
      </c>
      <c r="G303" s="30">
        <v>301</v>
      </c>
      <c r="H303" s="30">
        <f t="shared" si="51"/>
        <v>4.8550485130572744E-2</v>
      </c>
      <c r="I303" s="30">
        <f t="shared" ca="1" si="52"/>
        <v>0.88692775251365674</v>
      </c>
      <c r="J303" s="30">
        <f t="shared" ca="1" si="53"/>
        <v>18.2681542754585</v>
      </c>
      <c r="K303" s="30">
        <f t="shared" ca="1" si="54"/>
        <v>1.1647732914813295E-8</v>
      </c>
      <c r="L303" s="30">
        <f t="shared" ca="1" si="55"/>
        <v>5.836481436236264</v>
      </c>
      <c r="M303" s="1">
        <f t="shared" ca="1" si="56"/>
        <v>12.066513247011699</v>
      </c>
    </row>
    <row r="304" spans="1:13" x14ac:dyDescent="0.4">
      <c r="A304" s="1">
        <f t="shared" ca="1" si="60"/>
        <v>5.836481436236264</v>
      </c>
      <c r="B304" s="30">
        <f t="shared" ca="1" si="57"/>
        <v>12.066513247011699</v>
      </c>
      <c r="C304" s="30">
        <f t="shared" ca="1" si="50"/>
        <v>0.79556851561405462</v>
      </c>
      <c r="D304" s="30">
        <f t="shared" ca="1" si="61"/>
        <v>6.6320499518503189</v>
      </c>
      <c r="E304" s="30">
        <f t="shared" ca="1" si="58"/>
        <v>21.835450775251502</v>
      </c>
      <c r="F304" s="30">
        <f t="shared" ca="1" si="59"/>
        <v>0.94081152234712617</v>
      </c>
      <c r="G304" s="30">
        <v>302</v>
      </c>
      <c r="H304" s="30">
        <f t="shared" si="51"/>
        <v>4.8064980279267019E-2</v>
      </c>
      <c r="I304" s="30">
        <f t="shared" ca="1" si="52"/>
        <v>9.7689375282398032</v>
      </c>
      <c r="J304" s="30">
        <f t="shared" ca="1" si="53"/>
        <v>203.24438856482098</v>
      </c>
      <c r="K304" s="30">
        <f t="shared" ca="1" si="54"/>
        <v>5.3961444706800679E-89</v>
      </c>
      <c r="L304" s="30">
        <f t="shared" ca="1" si="55"/>
        <v>5.836481436236264</v>
      </c>
      <c r="M304" s="1">
        <f t="shared" ca="1" si="56"/>
        <v>12.066513247011699</v>
      </c>
    </row>
    <row r="305" spans="1:13" x14ac:dyDescent="0.4">
      <c r="A305" s="1">
        <f t="shared" ca="1" si="60"/>
        <v>5.836481436236264</v>
      </c>
      <c r="B305" s="30">
        <f t="shared" ca="1" si="57"/>
        <v>12.066513247011699</v>
      </c>
      <c r="C305" s="30">
        <f t="shared" ca="1" si="50"/>
        <v>-0.28737298405025169</v>
      </c>
      <c r="D305" s="30">
        <f t="shared" ca="1" si="61"/>
        <v>5.5491084521860126</v>
      </c>
      <c r="E305" s="30">
        <f t="shared" ca="1" si="58"/>
        <v>13.659058584313698</v>
      </c>
      <c r="F305" s="30">
        <f t="shared" ca="1" si="59"/>
        <v>0.86293200649908675</v>
      </c>
      <c r="G305" s="30">
        <v>303</v>
      </c>
      <c r="H305" s="30">
        <f t="shared" si="51"/>
        <v>4.7584330476474347E-2</v>
      </c>
      <c r="I305" s="30">
        <f t="shared" ca="1" si="52"/>
        <v>1.5925453373019991</v>
      </c>
      <c r="J305" s="30">
        <f t="shared" ca="1" si="53"/>
        <v>33.467852155434912</v>
      </c>
      <c r="K305" s="30">
        <f t="shared" ca="1" si="54"/>
        <v>2.9180752543671513E-15</v>
      </c>
      <c r="L305" s="30">
        <f t="shared" ca="1" si="55"/>
        <v>5.836481436236264</v>
      </c>
      <c r="M305" s="1">
        <f t="shared" ca="1" si="56"/>
        <v>12.066513247011699</v>
      </c>
    </row>
    <row r="306" spans="1:13" x14ac:dyDescent="0.4">
      <c r="A306" s="1">
        <f t="shared" ca="1" si="60"/>
        <v>5.836481436236264</v>
      </c>
      <c r="B306" s="30">
        <f t="shared" ca="1" si="57"/>
        <v>12.066513247011699</v>
      </c>
      <c r="C306" s="30">
        <f t="shared" ca="1" si="50"/>
        <v>-0.41589814859396279</v>
      </c>
      <c r="D306" s="30">
        <f t="shared" ca="1" si="61"/>
        <v>5.4205832876423017</v>
      </c>
      <c r="E306" s="30">
        <f t="shared" ca="1" si="58"/>
        <v>14.769265117582108</v>
      </c>
      <c r="F306" s="30">
        <f t="shared" ca="1" si="59"/>
        <v>0.38122520369407176</v>
      </c>
      <c r="G306" s="30">
        <v>304</v>
      </c>
      <c r="H306" s="30">
        <f t="shared" si="51"/>
        <v>4.7108487171709609E-2</v>
      </c>
      <c r="I306" s="30">
        <f t="shared" ca="1" si="52"/>
        <v>2.7027518705704097</v>
      </c>
      <c r="J306" s="30">
        <f t="shared" ca="1" si="53"/>
        <v>57.372928591803991</v>
      </c>
      <c r="K306" s="30">
        <f t="shared" ca="1" si="54"/>
        <v>1.2113055356615611E-25</v>
      </c>
      <c r="L306" s="30">
        <f t="shared" ca="1" si="55"/>
        <v>5.836481436236264</v>
      </c>
      <c r="M306" s="1">
        <f t="shared" ca="1" si="56"/>
        <v>12.066513247011699</v>
      </c>
    </row>
    <row r="307" spans="1:13" x14ac:dyDescent="0.4">
      <c r="A307" s="1">
        <f t="shared" ca="1" si="60"/>
        <v>5.836481436236264</v>
      </c>
      <c r="B307" s="30">
        <f t="shared" ca="1" si="57"/>
        <v>12.066513247011699</v>
      </c>
      <c r="C307" s="30">
        <f t="shared" ca="1" si="50"/>
        <v>-0.67143468902428327</v>
      </c>
      <c r="D307" s="30">
        <f t="shared" ca="1" si="61"/>
        <v>5.1650467472119805</v>
      </c>
      <c r="E307" s="30">
        <f t="shared" ca="1" si="58"/>
        <v>17.313777487950347</v>
      </c>
      <c r="F307" s="30">
        <f t="shared" ca="1" si="59"/>
        <v>0.62614893651907122</v>
      </c>
      <c r="G307" s="30">
        <v>305</v>
      </c>
      <c r="H307" s="30">
        <f t="shared" si="51"/>
        <v>4.6637402299992504E-2</v>
      </c>
      <c r="I307" s="30">
        <f t="shared" ca="1" si="52"/>
        <v>5.2472642409386481</v>
      </c>
      <c r="J307" s="30">
        <f t="shared" ca="1" si="53"/>
        <v>112.51193210089001</v>
      </c>
      <c r="K307" s="30">
        <f t="shared" ca="1" si="54"/>
        <v>1.3698996045688663E-49</v>
      </c>
      <c r="L307" s="30">
        <f t="shared" ca="1" si="55"/>
        <v>5.836481436236264</v>
      </c>
      <c r="M307" s="1">
        <f t="shared" ca="1" si="56"/>
        <v>12.066513247011699</v>
      </c>
    </row>
    <row r="308" spans="1:13" x14ac:dyDescent="0.4">
      <c r="A308" s="1">
        <f t="shared" ca="1" si="60"/>
        <v>5.836481436236264</v>
      </c>
      <c r="B308" s="30">
        <f t="shared" ca="1" si="57"/>
        <v>12.066513247011699</v>
      </c>
      <c r="C308" s="30">
        <f t="shared" ca="1" si="50"/>
        <v>-0.69990349467102875</v>
      </c>
      <c r="D308" s="30">
        <f t="shared" ca="1" si="61"/>
        <v>5.1365779415652355</v>
      </c>
      <c r="E308" s="30">
        <f t="shared" ca="1" si="58"/>
        <v>17.607452115611864</v>
      </c>
      <c r="F308" s="30">
        <f t="shared" ca="1" si="59"/>
        <v>0.61856570051058224</v>
      </c>
      <c r="G308" s="30">
        <v>306</v>
      </c>
      <c r="H308" s="30">
        <f t="shared" si="51"/>
        <v>4.6171028276992578E-2</v>
      </c>
      <c r="I308" s="30">
        <f t="shared" ca="1" si="52"/>
        <v>5.5409388686001648</v>
      </c>
      <c r="J308" s="30">
        <f t="shared" ca="1" si="53"/>
        <v>120.00899861615737</v>
      </c>
      <c r="K308" s="30">
        <f t="shared" ca="1" si="54"/>
        <v>7.5989593670352584E-53</v>
      </c>
      <c r="L308" s="30">
        <f t="shared" ca="1" si="55"/>
        <v>5.836481436236264</v>
      </c>
      <c r="M308" s="1">
        <f t="shared" ca="1" si="56"/>
        <v>12.066513247011699</v>
      </c>
    </row>
    <row r="309" spans="1:13" x14ac:dyDescent="0.4">
      <c r="A309" s="1">
        <f t="shared" ca="1" si="60"/>
        <v>5.836481436236264</v>
      </c>
      <c r="B309" s="30">
        <f t="shared" ca="1" si="57"/>
        <v>12.066513247011699</v>
      </c>
      <c r="C309" s="30">
        <f t="shared" ca="1" si="50"/>
        <v>-0.81602749836391086</v>
      </c>
      <c r="D309" s="30">
        <f t="shared" ca="1" si="61"/>
        <v>5.0204539378723529</v>
      </c>
      <c r="E309" s="30">
        <f t="shared" ca="1" si="58"/>
        <v>18.794658297885803</v>
      </c>
      <c r="F309" s="30">
        <f t="shared" ca="1" si="59"/>
        <v>0.44303045765492544</v>
      </c>
      <c r="G309" s="30">
        <v>307</v>
      </c>
      <c r="H309" s="30">
        <f t="shared" si="51"/>
        <v>4.5709317994222655E-2</v>
      </c>
      <c r="I309" s="30">
        <f t="shared" ca="1" si="52"/>
        <v>6.7281450508741045</v>
      </c>
      <c r="J309" s="30">
        <f t="shared" ca="1" si="53"/>
        <v>147.19416841276205</v>
      </c>
      <c r="K309" s="30">
        <f t="shared" ca="1" si="54"/>
        <v>1.1868200920085066E-64</v>
      </c>
      <c r="L309" s="30">
        <f t="shared" ca="1" si="55"/>
        <v>5.836481436236264</v>
      </c>
      <c r="M309" s="1">
        <f t="shared" ca="1" si="56"/>
        <v>12.066513247011699</v>
      </c>
    </row>
    <row r="310" spans="1:13" x14ac:dyDescent="0.4">
      <c r="A310" s="1">
        <f t="shared" ca="1" si="60"/>
        <v>5.836481436236264</v>
      </c>
      <c r="B310" s="30">
        <f t="shared" ca="1" si="57"/>
        <v>12.066513247011699</v>
      </c>
      <c r="C310" s="30">
        <f t="shared" ca="1" si="50"/>
        <v>0.90958105468001182</v>
      </c>
      <c r="D310" s="30">
        <f t="shared" ca="1" si="61"/>
        <v>6.7460624909162759</v>
      </c>
      <c r="E310" s="30">
        <f t="shared" ca="1" si="58"/>
        <v>26.02980888450611</v>
      </c>
      <c r="F310" s="30">
        <f t="shared" ca="1" si="59"/>
        <v>0.46979720991507734</v>
      </c>
      <c r="G310" s="30">
        <v>308</v>
      </c>
      <c r="H310" s="30">
        <f t="shared" si="51"/>
        <v>4.5252224814280428E-2</v>
      </c>
      <c r="I310" s="30">
        <f t="shared" ca="1" si="52"/>
        <v>13.963295637494411</v>
      </c>
      <c r="J310" s="30">
        <f t="shared" ca="1" si="53"/>
        <v>308.56594774734606</v>
      </c>
      <c r="K310" s="30">
        <f t="shared" ca="1" si="54"/>
        <v>9.8064448457580187E-135</v>
      </c>
      <c r="L310" s="30">
        <f t="shared" ca="1" si="55"/>
        <v>5.836481436236264</v>
      </c>
      <c r="M310" s="1">
        <f t="shared" ca="1" si="56"/>
        <v>12.066513247011699</v>
      </c>
    </row>
    <row r="311" spans="1:13" x14ac:dyDescent="0.4">
      <c r="A311" s="1">
        <f t="shared" ca="1" si="60"/>
        <v>5.836481436236264</v>
      </c>
      <c r="B311" s="30">
        <f t="shared" ca="1" si="57"/>
        <v>12.066513247011699</v>
      </c>
      <c r="C311" s="30">
        <f t="shared" ca="1" si="50"/>
        <v>-0.14685493265358973</v>
      </c>
      <c r="D311" s="30">
        <f t="shared" ca="1" si="61"/>
        <v>5.6896265035826747</v>
      </c>
      <c r="E311" s="30">
        <f t="shared" ca="1" si="58"/>
        <v>12.690649651015065</v>
      </c>
      <c r="F311" s="30">
        <f t="shared" ca="1" si="59"/>
        <v>0.30767300086691329</v>
      </c>
      <c r="G311" s="30">
        <v>309</v>
      </c>
      <c r="H311" s="30">
        <f t="shared" si="51"/>
        <v>4.4799702566137627E-2</v>
      </c>
      <c r="I311" s="30">
        <f t="shared" ca="1" si="52"/>
        <v>0.6241364040033659</v>
      </c>
      <c r="J311" s="30">
        <f t="shared" ca="1" si="53"/>
        <v>13.931708655475017</v>
      </c>
      <c r="K311" s="30">
        <f t="shared" ca="1" si="54"/>
        <v>8.9029883984349764E-7</v>
      </c>
      <c r="L311" s="30">
        <f t="shared" ca="1" si="55"/>
        <v>5.836481436236264</v>
      </c>
      <c r="M311" s="1">
        <f t="shared" ca="1" si="56"/>
        <v>12.066513247011699</v>
      </c>
    </row>
    <row r="312" spans="1:13" x14ac:dyDescent="0.4">
      <c r="A312" s="1">
        <f t="shared" ca="1" si="60"/>
        <v>5.836481436236264</v>
      </c>
      <c r="B312" s="30">
        <f t="shared" ca="1" si="57"/>
        <v>12.066513247011699</v>
      </c>
      <c r="C312" s="30">
        <f t="shared" ca="1" si="50"/>
        <v>0.83050001268714047</v>
      </c>
      <c r="D312" s="30">
        <f t="shared" ca="1" si="61"/>
        <v>6.6669814489234049</v>
      </c>
      <c r="E312" s="30">
        <f t="shared" ca="1" si="58"/>
        <v>23.02342478638775</v>
      </c>
      <c r="F312" s="30">
        <f t="shared" ca="1" si="59"/>
        <v>0.57235597606136057</v>
      </c>
      <c r="G312" s="30">
        <v>310</v>
      </c>
      <c r="H312" s="30">
        <f t="shared" si="51"/>
        <v>4.4351705540476245E-2</v>
      </c>
      <c r="I312" s="30">
        <f t="shared" ca="1" si="52"/>
        <v>10.956911539376051</v>
      </c>
      <c r="J312" s="30">
        <f t="shared" ca="1" si="53"/>
        <v>247.04600208387831</v>
      </c>
      <c r="K312" s="30">
        <f t="shared" ca="1" si="54"/>
        <v>5.1201716274638164E-108</v>
      </c>
      <c r="L312" s="30">
        <f t="shared" ca="1" si="55"/>
        <v>5.836481436236264</v>
      </c>
      <c r="M312" s="1">
        <f t="shared" ca="1" si="56"/>
        <v>12.066513247011699</v>
      </c>
    </row>
    <row r="313" spans="1:13" x14ac:dyDescent="0.4">
      <c r="A313" s="1">
        <f t="shared" ca="1" si="60"/>
        <v>5.836481436236264</v>
      </c>
      <c r="B313" s="30">
        <f t="shared" ca="1" si="57"/>
        <v>12.066513247011699</v>
      </c>
      <c r="C313" s="30">
        <f t="shared" ca="1" si="50"/>
        <v>-0.20545728153177389</v>
      </c>
      <c r="D313" s="30">
        <f t="shared" ca="1" si="61"/>
        <v>5.6310241547044901</v>
      </c>
      <c r="E313" s="30">
        <f t="shared" ca="1" si="58"/>
        <v>13.057005721054566</v>
      </c>
      <c r="F313" s="30">
        <f t="shared" ca="1" si="59"/>
        <v>0.34853307423668467</v>
      </c>
      <c r="G313" s="30">
        <v>311</v>
      </c>
      <c r="H313" s="30">
        <f t="shared" si="51"/>
        <v>4.3908188485071484E-2</v>
      </c>
      <c r="I313" s="30">
        <f t="shared" ca="1" si="52"/>
        <v>0.99049247404286689</v>
      </c>
      <c r="J313" s="30">
        <f t="shared" ca="1" si="53"/>
        <v>22.558263235560908</v>
      </c>
      <c r="K313" s="30">
        <f t="shared" ca="1" si="54"/>
        <v>1.5961391698490771E-10</v>
      </c>
      <c r="L313" s="30">
        <f t="shared" ca="1" si="55"/>
        <v>5.836481436236264</v>
      </c>
      <c r="M313" s="1">
        <f t="shared" ca="1" si="56"/>
        <v>12.066513247011699</v>
      </c>
    </row>
    <row r="314" spans="1:13" x14ac:dyDescent="0.4">
      <c r="A314" s="1">
        <f t="shared" ca="1" si="60"/>
        <v>5.836481436236264</v>
      </c>
      <c r="B314" s="30">
        <f t="shared" ca="1" si="57"/>
        <v>12.066513247011699</v>
      </c>
      <c r="C314" s="30">
        <f t="shared" ca="1" si="50"/>
        <v>-0.68744595024464328</v>
      </c>
      <c r="D314" s="30">
        <f t="shared" ca="1" si="61"/>
        <v>5.1490354859916208</v>
      </c>
      <c r="E314" s="30">
        <f t="shared" ca="1" si="58"/>
        <v>17.478956594172132</v>
      </c>
      <c r="F314" s="30">
        <f t="shared" ca="1" si="59"/>
        <v>0.91575724415911164</v>
      </c>
      <c r="G314" s="30">
        <v>312</v>
      </c>
      <c r="H314" s="30">
        <f t="shared" si="51"/>
        <v>4.3469106600220769E-2</v>
      </c>
      <c r="I314" s="30">
        <f t="shared" ca="1" si="52"/>
        <v>5.4124433471604334</v>
      </c>
      <c r="J314" s="30">
        <f t="shared" ca="1" si="53"/>
        <v>124.51241284846063</v>
      </c>
      <c r="K314" s="30">
        <f t="shared" ca="1" si="54"/>
        <v>8.4129086154886413E-55</v>
      </c>
      <c r="L314" s="30">
        <f t="shared" ca="1" si="55"/>
        <v>5.836481436236264</v>
      </c>
      <c r="M314" s="1">
        <f t="shared" ca="1" si="56"/>
        <v>12.066513247011699</v>
      </c>
    </row>
    <row r="315" spans="1:13" x14ac:dyDescent="0.4">
      <c r="A315" s="1">
        <f t="shared" ca="1" si="60"/>
        <v>5.836481436236264</v>
      </c>
      <c r="B315" s="30">
        <f t="shared" ca="1" si="57"/>
        <v>12.066513247011699</v>
      </c>
      <c r="C315" s="30">
        <f t="shared" ca="1" si="50"/>
        <v>0.12882435539951453</v>
      </c>
      <c r="D315" s="30">
        <f t="shared" ca="1" si="61"/>
        <v>5.9653057916357781</v>
      </c>
      <c r="E315" s="30">
        <f t="shared" ca="1" si="58"/>
        <v>11.949537953596973</v>
      </c>
      <c r="F315" s="30">
        <f t="shared" ca="1" si="59"/>
        <v>0.3744164027767799</v>
      </c>
      <c r="G315" s="30">
        <v>313</v>
      </c>
      <c r="H315" s="30">
        <f t="shared" si="51"/>
        <v>4.3034415534218558E-2</v>
      </c>
      <c r="I315" s="30">
        <f t="shared" ca="1" si="52"/>
        <v>-0.11697529341472546</v>
      </c>
      <c r="J315" s="30">
        <f t="shared" ca="1" si="53"/>
        <v>-2.7181801347275938</v>
      </c>
      <c r="K315" s="30">
        <f t="shared" ca="1" si="54"/>
        <v>0</v>
      </c>
      <c r="L315" s="30">
        <f t="shared" ca="1" si="55"/>
        <v>5.9653057916357781</v>
      </c>
      <c r="M315" s="1">
        <f t="shared" ca="1" si="56"/>
        <v>11.949537953596973</v>
      </c>
    </row>
    <row r="316" spans="1:13" x14ac:dyDescent="0.4">
      <c r="A316" s="1">
        <f t="shared" ca="1" si="60"/>
        <v>5.9653057916357781</v>
      </c>
      <c r="B316" s="30">
        <f t="shared" ca="1" si="57"/>
        <v>11.949537953596973</v>
      </c>
      <c r="C316" s="30">
        <f t="shared" ca="1" si="50"/>
        <v>0.38842386315295996</v>
      </c>
      <c r="D316" s="30">
        <f t="shared" ca="1" si="61"/>
        <v>6.3537296547887383</v>
      </c>
      <c r="E316" s="30">
        <f t="shared" ca="1" si="58"/>
        <v>15.079192637973847</v>
      </c>
      <c r="F316" s="30">
        <f t="shared" ca="1" si="59"/>
        <v>0.40905644572539568</v>
      </c>
      <c r="G316" s="30">
        <v>314</v>
      </c>
      <c r="H316" s="30">
        <f t="shared" si="51"/>
        <v>4.2604071378876375E-2</v>
      </c>
      <c r="I316" s="30">
        <f t="shared" ca="1" si="52"/>
        <v>3.1296546843768738</v>
      </c>
      <c r="J316" s="30">
        <f t="shared" ca="1" si="53"/>
        <v>73.459051754584081</v>
      </c>
      <c r="K316" s="30">
        <f t="shared" ca="1" si="54"/>
        <v>1.2506597614417861E-32</v>
      </c>
      <c r="L316" s="30">
        <f t="shared" ca="1" si="55"/>
        <v>5.9653057916357781</v>
      </c>
      <c r="M316" s="1">
        <f t="shared" ca="1" si="56"/>
        <v>11.949537953596973</v>
      </c>
    </row>
    <row r="317" spans="1:13" x14ac:dyDescent="0.4">
      <c r="A317" s="1">
        <f t="shared" ca="1" si="60"/>
        <v>5.9653057916357781</v>
      </c>
      <c r="B317" s="30">
        <f t="shared" ca="1" si="57"/>
        <v>11.949537953596973</v>
      </c>
      <c r="C317" s="30">
        <f t="shared" ca="1" si="50"/>
        <v>0.28887316656327089</v>
      </c>
      <c r="D317" s="30">
        <f t="shared" ca="1" si="61"/>
        <v>6.2541789581990486</v>
      </c>
      <c r="E317" s="30">
        <f t="shared" ca="1" si="58"/>
        <v>13.677616861402157</v>
      </c>
      <c r="F317" s="30">
        <f t="shared" ca="1" si="59"/>
        <v>0.59875974937501542</v>
      </c>
      <c r="G317" s="30">
        <v>315</v>
      </c>
      <c r="H317" s="30">
        <f t="shared" si="51"/>
        <v>4.2178030665087615E-2</v>
      </c>
      <c r="I317" s="30">
        <f t="shared" ca="1" si="52"/>
        <v>1.7280789078051839</v>
      </c>
      <c r="J317" s="30">
        <f t="shared" ca="1" si="53"/>
        <v>40.971066703585606</v>
      </c>
      <c r="K317" s="30">
        <f t="shared" ca="1" si="54"/>
        <v>1.6087620501923734E-18</v>
      </c>
      <c r="L317" s="30">
        <f t="shared" ca="1" si="55"/>
        <v>5.9653057916357781</v>
      </c>
      <c r="M317" s="1">
        <f t="shared" ca="1" si="56"/>
        <v>11.949537953596973</v>
      </c>
    </row>
    <row r="318" spans="1:13" x14ac:dyDescent="0.4">
      <c r="A318" s="1">
        <f t="shared" ca="1" si="60"/>
        <v>5.9653057916357781</v>
      </c>
      <c r="B318" s="30">
        <f t="shared" ca="1" si="57"/>
        <v>11.949537953596973</v>
      </c>
      <c r="C318" s="30">
        <f t="shared" ca="1" si="50"/>
        <v>0.77104641557872844</v>
      </c>
      <c r="D318" s="30">
        <f t="shared" ca="1" si="61"/>
        <v>6.736352207214507</v>
      </c>
      <c r="E318" s="30">
        <f t="shared" ca="1" si="58"/>
        <v>25.636221408102756</v>
      </c>
      <c r="F318" s="30">
        <f t="shared" ca="1" si="59"/>
        <v>0.8246800719901104</v>
      </c>
      <c r="G318" s="30">
        <v>316</v>
      </c>
      <c r="H318" s="30">
        <f t="shared" si="51"/>
        <v>4.1756250358436726E-2</v>
      </c>
      <c r="I318" s="30">
        <f t="shared" ca="1" si="52"/>
        <v>13.686683454505783</v>
      </c>
      <c r="J318" s="30">
        <f t="shared" ca="1" si="53"/>
        <v>327.77568237135614</v>
      </c>
      <c r="K318" s="30">
        <f t="shared" ca="1" si="54"/>
        <v>4.4548167512180725E-143</v>
      </c>
      <c r="L318" s="30">
        <f t="shared" ca="1" si="55"/>
        <v>5.9653057916357781</v>
      </c>
      <c r="M318" s="1">
        <f t="shared" ca="1" si="56"/>
        <v>11.949537953596973</v>
      </c>
    </row>
    <row r="319" spans="1:13" x14ac:dyDescent="0.4">
      <c r="A319" s="1">
        <f t="shared" ca="1" si="60"/>
        <v>5.9653057916357781</v>
      </c>
      <c r="B319" s="30">
        <f t="shared" ca="1" si="57"/>
        <v>11.949537953596973</v>
      </c>
      <c r="C319" s="30">
        <f t="shared" ca="1" si="50"/>
        <v>0.28907008460100703</v>
      </c>
      <c r="D319" s="30">
        <f t="shared" ca="1" si="61"/>
        <v>6.2543758762367849</v>
      </c>
      <c r="E319" s="30">
        <f t="shared" ca="1" si="58"/>
        <v>13.679931516521492</v>
      </c>
      <c r="F319" s="30">
        <f t="shared" ca="1" si="59"/>
        <v>0.71672171046775701</v>
      </c>
      <c r="G319" s="30">
        <v>317</v>
      </c>
      <c r="H319" s="30">
        <f t="shared" si="51"/>
        <v>4.1338687854852355E-2</v>
      </c>
      <c r="I319" s="30">
        <f t="shared" ca="1" si="52"/>
        <v>1.7303935629245188</v>
      </c>
      <c r="J319" s="30">
        <f t="shared" ca="1" si="53"/>
        <v>41.858937782453211</v>
      </c>
      <c r="K319" s="30">
        <f t="shared" ca="1" si="54"/>
        <v>6.6205535510311013E-19</v>
      </c>
      <c r="L319" s="30">
        <f t="shared" ca="1" si="55"/>
        <v>5.9653057916357781</v>
      </c>
      <c r="M319" s="1">
        <f t="shared" ca="1" si="56"/>
        <v>11.949537953596973</v>
      </c>
    </row>
    <row r="320" spans="1:13" x14ac:dyDescent="0.4">
      <c r="A320" s="1">
        <f t="shared" ca="1" si="60"/>
        <v>5.9653057916357781</v>
      </c>
      <c r="B320" s="30">
        <f t="shared" ca="1" si="57"/>
        <v>11.949537953596973</v>
      </c>
      <c r="C320" s="30">
        <f t="shared" ca="1" si="50"/>
        <v>0.32939346445947804</v>
      </c>
      <c r="D320" s="30">
        <f t="shared" ca="1" si="61"/>
        <v>6.2946992560952566</v>
      </c>
      <c r="E320" s="30">
        <f t="shared" ca="1" si="58"/>
        <v>14.191254957885349</v>
      </c>
      <c r="F320" s="30">
        <f t="shared" ca="1" si="59"/>
        <v>0.49359447203678286</v>
      </c>
      <c r="G320" s="30">
        <v>318</v>
      </c>
      <c r="H320" s="30">
        <f t="shared" si="51"/>
        <v>4.0925300976303848E-2</v>
      </c>
      <c r="I320" s="30">
        <f t="shared" ca="1" si="52"/>
        <v>2.2417170042883754</v>
      </c>
      <c r="J320" s="30">
        <f t="shared" ca="1" si="53"/>
        <v>54.775822066314227</v>
      </c>
      <c r="K320" s="30">
        <f t="shared" ca="1" si="54"/>
        <v>1.6261579807565897E-24</v>
      </c>
      <c r="L320" s="30">
        <f t="shared" ca="1" si="55"/>
        <v>5.9653057916357781</v>
      </c>
      <c r="M320" s="1">
        <f t="shared" ca="1" si="56"/>
        <v>11.949537953596973</v>
      </c>
    </row>
    <row r="321" spans="1:13" x14ac:dyDescent="0.4">
      <c r="A321" s="1">
        <f t="shared" ca="1" si="60"/>
        <v>5.9653057916357781</v>
      </c>
      <c r="B321" s="30">
        <f t="shared" ca="1" si="57"/>
        <v>11.949537953596973</v>
      </c>
      <c r="C321" s="30">
        <f t="shared" ca="1" si="50"/>
        <v>-0.59173927486472211</v>
      </c>
      <c r="D321" s="30">
        <f t="shared" ca="1" si="61"/>
        <v>5.3735665167710565</v>
      </c>
      <c r="E321" s="30">
        <f t="shared" ca="1" si="58"/>
        <v>15.213233424229315</v>
      </c>
      <c r="F321" s="30">
        <f t="shared" ca="1" si="59"/>
        <v>1.7761301116672845E-2</v>
      </c>
      <c r="G321" s="30">
        <v>319</v>
      </c>
      <c r="H321" s="30">
        <f t="shared" si="51"/>
        <v>4.0516047966540798E-2</v>
      </c>
      <c r="I321" s="30">
        <f t="shared" ca="1" si="52"/>
        <v>3.2636954706323422</v>
      </c>
      <c r="J321" s="30">
        <f t="shared" ca="1" si="53"/>
        <v>80.553154476655436</v>
      </c>
      <c r="K321" s="30">
        <f t="shared" ca="1" si="54"/>
        <v>1.0380290575480874E-35</v>
      </c>
      <c r="L321" s="30">
        <f t="shared" ca="1" si="55"/>
        <v>5.9653057916357781</v>
      </c>
      <c r="M321" s="1">
        <f t="shared" ca="1" si="56"/>
        <v>11.949537953596973</v>
      </c>
    </row>
    <row r="322" spans="1:13" x14ac:dyDescent="0.4">
      <c r="A322" s="1">
        <f t="shared" ca="1" si="60"/>
        <v>5.9653057916357781</v>
      </c>
      <c r="B322" s="30">
        <f t="shared" ca="1" si="57"/>
        <v>11.949537953596973</v>
      </c>
      <c r="C322" s="30">
        <f t="shared" ca="1" si="50"/>
        <v>0.10808899958597773</v>
      </c>
      <c r="D322" s="30">
        <f t="shared" ca="1" si="61"/>
        <v>6.0733947912217561</v>
      </c>
      <c r="E322" s="30">
        <f t="shared" ca="1" si="58"/>
        <v>12.236170227841285</v>
      </c>
      <c r="F322" s="30">
        <f t="shared" ca="1" si="59"/>
        <v>0.62837228767689535</v>
      </c>
      <c r="G322" s="30">
        <v>320</v>
      </c>
      <c r="H322" s="30">
        <f t="shared" si="51"/>
        <v>4.0110887486875392E-2</v>
      </c>
      <c r="I322" s="30">
        <f t="shared" ca="1" si="52"/>
        <v>0.2866322742443117</v>
      </c>
      <c r="J322" s="30">
        <f t="shared" ca="1" si="53"/>
        <v>7.1459968154057947</v>
      </c>
      <c r="K322" s="30">
        <f t="shared" ca="1" si="54"/>
        <v>7.8801233442460632E-4</v>
      </c>
      <c r="L322" s="30">
        <f t="shared" ca="1" si="55"/>
        <v>5.9653057916357781</v>
      </c>
      <c r="M322" s="1">
        <f t="shared" ca="1" si="56"/>
        <v>11.949537953596973</v>
      </c>
    </row>
    <row r="323" spans="1:13" x14ac:dyDescent="0.4">
      <c r="A323" s="1">
        <f t="shared" ca="1" si="60"/>
        <v>5.9653057916357781</v>
      </c>
      <c r="B323" s="30">
        <f t="shared" ca="1" si="57"/>
        <v>11.949537953596973</v>
      </c>
      <c r="C323" s="30">
        <f t="shared" ref="C323:C386" ca="1" si="62">2*(RAND()-0.5)</f>
        <v>-0.32871924141933895</v>
      </c>
      <c r="D323" s="30">
        <f t="shared" ca="1" si="61"/>
        <v>5.636586550216439</v>
      </c>
      <c r="E323" s="30">
        <f t="shared" ca="1" si="58"/>
        <v>13.019758594995437</v>
      </c>
      <c r="F323" s="30">
        <f t="shared" ca="1" si="59"/>
        <v>0.16701332575205063</v>
      </c>
      <c r="G323" s="30">
        <v>321</v>
      </c>
      <c r="H323" s="30">
        <f t="shared" ref="H323:H386" si="63">0.99^G323</f>
        <v>3.9709778612006634E-2</v>
      </c>
      <c r="I323" s="30">
        <f t="shared" ref="I323:I386" ca="1" si="64">E323-B323</f>
        <v>1.0702206413984641</v>
      </c>
      <c r="J323" s="30">
        <f t="shared" ref="J323:J386" ca="1" si="65">I323/H323</f>
        <v>26.951060388809939</v>
      </c>
      <c r="K323" s="30">
        <f t="shared" ref="K323:K386" ca="1" si="66">IF(I323&lt;0,0,EXP(-J323))</f>
        <v>1.9738002138865842E-12</v>
      </c>
      <c r="L323" s="30">
        <f t="shared" ref="L323:L386" ca="1" si="67">IF(E323&lt;B323,D323,IF(F323&lt;K323,D323,A323))</f>
        <v>5.9653057916357781</v>
      </c>
      <c r="M323" s="1">
        <f t="shared" ref="M323:M386" ca="1" si="68">L323^4-16*L323^3+88*L323^2-190*L323+144</f>
        <v>11.949537953596973</v>
      </c>
    </row>
    <row r="324" spans="1:13" x14ac:dyDescent="0.4">
      <c r="A324" s="1">
        <f t="shared" ca="1" si="60"/>
        <v>5.9653057916357781</v>
      </c>
      <c r="B324" s="30">
        <f t="shared" ref="B324:B387" ca="1" si="69">A324^4-16*A324^3+88*A324^2-190*A324+144</f>
        <v>11.949537953596973</v>
      </c>
      <c r="C324" s="30">
        <f t="shared" ca="1" si="62"/>
        <v>0.95135249172504688</v>
      </c>
      <c r="D324" s="30">
        <f t="shared" ca="1" si="61"/>
        <v>6.9166582833608246</v>
      </c>
      <c r="E324" s="30">
        <f t="shared" ref="E324:E387" ca="1" si="70">D324^4-16*D324^3+88*D324^2-190*D324+144</f>
        <v>34.145423992295719</v>
      </c>
      <c r="F324" s="30">
        <f t="shared" ref="F324:F387" ca="1" si="71">RAND()</f>
        <v>0.62070247719684668</v>
      </c>
      <c r="G324" s="30">
        <v>322</v>
      </c>
      <c r="H324" s="30">
        <f t="shared" si="63"/>
        <v>3.931268082588657E-2</v>
      </c>
      <c r="I324" s="30">
        <f t="shared" ca="1" si="64"/>
        <v>22.195886038698745</v>
      </c>
      <c r="J324" s="30">
        <f t="shared" ca="1" si="65"/>
        <v>564.59863770173672</v>
      </c>
      <c r="K324" s="30">
        <f t="shared" ca="1" si="66"/>
        <v>6.2795302378902745E-246</v>
      </c>
      <c r="L324" s="30">
        <f t="shared" ca="1" si="67"/>
        <v>5.9653057916357781</v>
      </c>
      <c r="M324" s="1">
        <f t="shared" ca="1" si="68"/>
        <v>11.949537953596973</v>
      </c>
    </row>
    <row r="325" spans="1:13" x14ac:dyDescent="0.4">
      <c r="A325" s="1">
        <f t="shared" ca="1" si="60"/>
        <v>5.9653057916357781</v>
      </c>
      <c r="B325" s="30">
        <f t="shared" ca="1" si="69"/>
        <v>11.949537953596973</v>
      </c>
      <c r="C325" s="30">
        <f t="shared" ca="1" si="62"/>
        <v>0.31827581881300393</v>
      </c>
      <c r="D325" s="30">
        <f t="shared" ca="1" si="61"/>
        <v>6.2835816104487821</v>
      </c>
      <c r="E325" s="30">
        <f t="shared" ca="1" si="70"/>
        <v>14.042768566875793</v>
      </c>
      <c r="F325" s="30">
        <f t="shared" ca="1" si="71"/>
        <v>1.0498568168902933E-3</v>
      </c>
      <c r="G325" s="30">
        <v>323</v>
      </c>
      <c r="H325" s="30">
        <f t="shared" si="63"/>
        <v>3.89195540176277E-2</v>
      </c>
      <c r="I325" s="30">
        <f t="shared" ca="1" si="64"/>
        <v>2.0932306132788199</v>
      </c>
      <c r="J325" s="30">
        <f t="shared" ca="1" si="65"/>
        <v>53.783520035474716</v>
      </c>
      <c r="K325" s="30">
        <f t="shared" ca="1" si="66"/>
        <v>4.3864585644222057E-24</v>
      </c>
      <c r="L325" s="30">
        <f t="shared" ca="1" si="67"/>
        <v>5.9653057916357781</v>
      </c>
      <c r="M325" s="1">
        <f t="shared" ca="1" si="68"/>
        <v>11.949537953596973</v>
      </c>
    </row>
    <row r="326" spans="1:13" x14ac:dyDescent="0.4">
      <c r="A326" s="1">
        <f t="shared" ca="1" si="60"/>
        <v>5.9653057916357781</v>
      </c>
      <c r="B326" s="30">
        <f t="shared" ca="1" si="69"/>
        <v>11.949537953596973</v>
      </c>
      <c r="C326" s="30">
        <f t="shared" ca="1" si="62"/>
        <v>0.18365472914782077</v>
      </c>
      <c r="D326" s="30">
        <f t="shared" ca="1" si="61"/>
        <v>6.1489605207835991</v>
      </c>
      <c r="E326" s="30">
        <f t="shared" ca="1" si="70"/>
        <v>12.679883753927925</v>
      </c>
      <c r="F326" s="30">
        <f t="shared" ca="1" si="71"/>
        <v>0.57821680899336014</v>
      </c>
      <c r="G326" s="30">
        <v>324</v>
      </c>
      <c r="H326" s="30">
        <f t="shared" si="63"/>
        <v>3.8530358477451426E-2</v>
      </c>
      <c r="I326" s="30">
        <f t="shared" ca="1" si="64"/>
        <v>0.73034580033095153</v>
      </c>
      <c r="J326" s="30">
        <f t="shared" ca="1" si="65"/>
        <v>18.955074107560183</v>
      </c>
      <c r="K326" s="30">
        <f t="shared" ca="1" si="66"/>
        <v>5.8602468623718204E-9</v>
      </c>
      <c r="L326" s="30">
        <f t="shared" ca="1" si="67"/>
        <v>5.9653057916357781</v>
      </c>
      <c r="M326" s="1">
        <f t="shared" ca="1" si="68"/>
        <v>11.949537953596973</v>
      </c>
    </row>
    <row r="327" spans="1:13" x14ac:dyDescent="0.4">
      <c r="A327" s="1">
        <f t="shared" ca="1" si="60"/>
        <v>5.9653057916357781</v>
      </c>
      <c r="B327" s="30">
        <f t="shared" ca="1" si="69"/>
        <v>11.949537953596973</v>
      </c>
      <c r="C327" s="30">
        <f t="shared" ca="1" si="62"/>
        <v>-0.8129036435796626</v>
      </c>
      <c r="D327" s="30">
        <f t="shared" ca="1" si="61"/>
        <v>5.1524021480561153</v>
      </c>
      <c r="E327" s="30">
        <f t="shared" ca="1" si="70"/>
        <v>17.444224178302875</v>
      </c>
      <c r="F327" s="30">
        <f t="shared" ca="1" si="71"/>
        <v>0.17276033554368009</v>
      </c>
      <c r="G327" s="30">
        <v>325</v>
      </c>
      <c r="H327" s="30">
        <f t="shared" si="63"/>
        <v>3.8145054892676909E-2</v>
      </c>
      <c r="I327" s="30">
        <f t="shared" ca="1" si="64"/>
        <v>5.4946862247059016</v>
      </c>
      <c r="J327" s="30">
        <f t="shared" ca="1" si="65"/>
        <v>144.04714425409759</v>
      </c>
      <c r="K327" s="30">
        <f t="shared" ca="1" si="66"/>
        <v>2.7613414783455182E-63</v>
      </c>
      <c r="L327" s="30">
        <f t="shared" ca="1" si="67"/>
        <v>5.9653057916357781</v>
      </c>
      <c r="M327" s="1">
        <f t="shared" ca="1" si="68"/>
        <v>11.949537953596973</v>
      </c>
    </row>
    <row r="328" spans="1:13" x14ac:dyDescent="0.4">
      <c r="A328" s="1">
        <f t="shared" ca="1" si="60"/>
        <v>5.9653057916357781</v>
      </c>
      <c r="B328" s="30">
        <f t="shared" ca="1" si="69"/>
        <v>11.949537953596973</v>
      </c>
      <c r="C328" s="30">
        <f t="shared" ca="1" si="62"/>
        <v>-0.80191951072009426</v>
      </c>
      <c r="D328" s="30">
        <f t="shared" ca="1" si="61"/>
        <v>5.1633862809156836</v>
      </c>
      <c r="E328" s="30">
        <f t="shared" ca="1" si="70"/>
        <v>17.330906101648111</v>
      </c>
      <c r="F328" s="30">
        <f t="shared" ca="1" si="71"/>
        <v>0.60720633982668792</v>
      </c>
      <c r="G328" s="30">
        <v>326</v>
      </c>
      <c r="H328" s="30">
        <f t="shared" si="63"/>
        <v>3.7763604343750139E-2</v>
      </c>
      <c r="I328" s="30">
        <f t="shared" ca="1" si="64"/>
        <v>5.3813681480511377</v>
      </c>
      <c r="J328" s="30">
        <f t="shared" ca="1" si="65"/>
        <v>142.50144395821562</v>
      </c>
      <c r="K328" s="30">
        <f t="shared" ca="1" si="66"/>
        <v>1.29541590715438E-62</v>
      </c>
      <c r="L328" s="30">
        <f t="shared" ca="1" si="67"/>
        <v>5.9653057916357781</v>
      </c>
      <c r="M328" s="1">
        <f t="shared" ca="1" si="68"/>
        <v>11.949537953596973</v>
      </c>
    </row>
    <row r="329" spans="1:13" x14ac:dyDescent="0.4">
      <c r="A329" s="1">
        <f t="shared" ca="1" si="60"/>
        <v>5.9653057916357781</v>
      </c>
      <c r="B329" s="30">
        <f t="shared" ca="1" si="69"/>
        <v>11.949537953596973</v>
      </c>
      <c r="C329" s="30">
        <f t="shared" ca="1" si="62"/>
        <v>0.44991833778565882</v>
      </c>
      <c r="D329" s="30">
        <f t="shared" ca="1" si="61"/>
        <v>6.4152241294214374</v>
      </c>
      <c r="E329" s="30">
        <f t="shared" ca="1" si="70"/>
        <v>16.191464997972616</v>
      </c>
      <c r="F329" s="30">
        <f t="shared" ca="1" si="71"/>
        <v>0.23131124621509702</v>
      </c>
      <c r="G329" s="30">
        <v>327</v>
      </c>
      <c r="H329" s="30">
        <f t="shared" si="63"/>
        <v>3.7385968300312641E-2</v>
      </c>
      <c r="I329" s="30">
        <f t="shared" ca="1" si="64"/>
        <v>4.2419270443756432</v>
      </c>
      <c r="J329" s="30">
        <f t="shared" ca="1" si="65"/>
        <v>113.46307818755011</v>
      </c>
      <c r="K329" s="30">
        <f t="shared" ca="1" si="66"/>
        <v>5.2918953035756345E-50</v>
      </c>
      <c r="L329" s="30">
        <f t="shared" ca="1" si="67"/>
        <v>5.9653057916357781</v>
      </c>
      <c r="M329" s="1">
        <f t="shared" ca="1" si="68"/>
        <v>11.949537953596973</v>
      </c>
    </row>
    <row r="330" spans="1:13" x14ac:dyDescent="0.4">
      <c r="A330" s="1">
        <f t="shared" ca="1" si="60"/>
        <v>5.9653057916357781</v>
      </c>
      <c r="B330" s="30">
        <f t="shared" ca="1" si="69"/>
        <v>11.949537953596973</v>
      </c>
      <c r="C330" s="30">
        <f t="shared" ca="1" si="62"/>
        <v>0.29302444122297144</v>
      </c>
      <c r="D330" s="30">
        <f t="shared" ca="1" si="61"/>
        <v>6.25833023285875</v>
      </c>
      <c r="E330" s="30">
        <f t="shared" ca="1" si="70"/>
        <v>13.726782438207692</v>
      </c>
      <c r="F330" s="30">
        <f t="shared" ca="1" si="71"/>
        <v>0.38431464384320702</v>
      </c>
      <c r="G330" s="30">
        <v>328</v>
      </c>
      <c r="H330" s="30">
        <f t="shared" si="63"/>
        <v>3.7012108617309504E-2</v>
      </c>
      <c r="I330" s="30">
        <f t="shared" ca="1" si="64"/>
        <v>1.7772444846107192</v>
      </c>
      <c r="J330" s="30">
        <f t="shared" ca="1" si="65"/>
        <v>48.01792037807737</v>
      </c>
      <c r="K330" s="30">
        <f t="shared" ca="1" si="66"/>
        <v>1.3998520812617458E-21</v>
      </c>
      <c r="L330" s="30">
        <f t="shared" ca="1" si="67"/>
        <v>5.9653057916357781</v>
      </c>
      <c r="M330" s="1">
        <f t="shared" ca="1" si="68"/>
        <v>11.949537953596973</v>
      </c>
    </row>
    <row r="331" spans="1:13" x14ac:dyDescent="0.4">
      <c r="A331" s="1">
        <f t="shared" ca="1" si="60"/>
        <v>5.9653057916357781</v>
      </c>
      <c r="B331" s="30">
        <f t="shared" ca="1" si="69"/>
        <v>11.949537953596973</v>
      </c>
      <c r="C331" s="30">
        <f t="shared" ca="1" si="62"/>
        <v>-0.40835023711397578</v>
      </c>
      <c r="D331" s="30">
        <f t="shared" ca="1" si="61"/>
        <v>5.5569555545218021</v>
      </c>
      <c r="E331" s="30">
        <f t="shared" ca="1" si="70"/>
        <v>13.597338513995737</v>
      </c>
      <c r="F331" s="30">
        <f t="shared" ca="1" si="71"/>
        <v>0.20013612367765821</v>
      </c>
      <c r="G331" s="30">
        <v>329</v>
      </c>
      <c r="H331" s="30">
        <f t="shared" si="63"/>
        <v>3.6641987531136413E-2</v>
      </c>
      <c r="I331" s="30">
        <f t="shared" ca="1" si="64"/>
        <v>1.647800560398764</v>
      </c>
      <c r="J331" s="30">
        <f t="shared" ca="1" si="65"/>
        <v>44.970283312239836</v>
      </c>
      <c r="K331" s="30">
        <f t="shared" ca="1" si="66"/>
        <v>2.9488596834539216E-20</v>
      </c>
      <c r="L331" s="30">
        <f t="shared" ca="1" si="67"/>
        <v>5.9653057916357781</v>
      </c>
      <c r="M331" s="1">
        <f t="shared" ca="1" si="68"/>
        <v>11.949537953596973</v>
      </c>
    </row>
    <row r="332" spans="1:13" x14ac:dyDescent="0.4">
      <c r="A332" s="1">
        <f t="shared" ca="1" si="60"/>
        <v>5.9653057916357781</v>
      </c>
      <c r="B332" s="30">
        <f t="shared" ca="1" si="69"/>
        <v>11.949537953596973</v>
      </c>
      <c r="C332" s="30">
        <f t="shared" ca="1" si="62"/>
        <v>2.173945182496051E-2</v>
      </c>
      <c r="D332" s="30">
        <f t="shared" ca="1" si="61"/>
        <v>5.9870452434607389</v>
      </c>
      <c r="E332" s="30">
        <f t="shared" ca="1" si="70"/>
        <v>11.976758333428506</v>
      </c>
      <c r="F332" s="30">
        <f t="shared" ca="1" si="71"/>
        <v>0.21525855577858022</v>
      </c>
      <c r="G332" s="30">
        <v>330</v>
      </c>
      <c r="H332" s="30">
        <f t="shared" si="63"/>
        <v>3.6275567655825049E-2</v>
      </c>
      <c r="I332" s="30">
        <f t="shared" ca="1" si="64"/>
        <v>2.7220379831533137E-2</v>
      </c>
      <c r="J332" s="30">
        <f t="shared" ca="1" si="65"/>
        <v>0.75037777740087686</v>
      </c>
      <c r="K332" s="30">
        <f t="shared" ca="1" si="66"/>
        <v>0.47218813703529172</v>
      </c>
      <c r="L332" s="30">
        <f t="shared" ca="1" si="67"/>
        <v>5.9870452434607389</v>
      </c>
      <c r="M332" s="1">
        <f t="shared" ca="1" si="68"/>
        <v>11.976758333428506</v>
      </c>
    </row>
    <row r="333" spans="1:13" x14ac:dyDescent="0.4">
      <c r="A333" s="1">
        <f t="shared" ca="1" si="60"/>
        <v>5.9870452434607389</v>
      </c>
      <c r="B333" s="30">
        <f t="shared" ca="1" si="69"/>
        <v>11.976758333428506</v>
      </c>
      <c r="C333" s="30">
        <f t="shared" ca="1" si="62"/>
        <v>-0.86773268290242789</v>
      </c>
      <c r="D333" s="30">
        <f t="shared" ca="1" si="61"/>
        <v>5.1193125605583107</v>
      </c>
      <c r="E333" s="30">
        <f t="shared" ca="1" si="70"/>
        <v>17.785399958966309</v>
      </c>
      <c r="F333" s="30">
        <f t="shared" ca="1" si="71"/>
        <v>0.38046786891862283</v>
      </c>
      <c r="G333" s="30">
        <v>331</v>
      </c>
      <c r="H333" s="30">
        <f t="shared" si="63"/>
        <v>3.5912811979266795E-2</v>
      </c>
      <c r="I333" s="30">
        <f t="shared" ca="1" si="64"/>
        <v>5.8086416255378026</v>
      </c>
      <c r="J333" s="30">
        <f t="shared" ca="1" si="65"/>
        <v>161.7428796411501</v>
      </c>
      <c r="K333" s="30">
        <f t="shared" ca="1" si="66"/>
        <v>5.701116092798295E-71</v>
      </c>
      <c r="L333" s="30">
        <f t="shared" ca="1" si="67"/>
        <v>5.9870452434607389</v>
      </c>
      <c r="M333" s="1">
        <f t="shared" ca="1" si="68"/>
        <v>11.976758333428506</v>
      </c>
    </row>
    <row r="334" spans="1:13" x14ac:dyDescent="0.4">
      <c r="A334" s="1">
        <f t="shared" ca="1" si="60"/>
        <v>5.9870452434607389</v>
      </c>
      <c r="B334" s="30">
        <f t="shared" ca="1" si="69"/>
        <v>11.976758333428506</v>
      </c>
      <c r="C334" s="30">
        <f t="shared" ca="1" si="62"/>
        <v>0.74051577879745878</v>
      </c>
      <c r="D334" s="30">
        <f t="shared" ca="1" si="61"/>
        <v>6.7275610222581976</v>
      </c>
      <c r="E334" s="30">
        <f t="shared" ca="1" si="70"/>
        <v>25.285895428708045</v>
      </c>
      <c r="F334" s="30">
        <f t="shared" ca="1" si="71"/>
        <v>7.5410715640990333E-2</v>
      </c>
      <c r="G334" s="30">
        <v>332</v>
      </c>
      <c r="H334" s="30">
        <f t="shared" si="63"/>
        <v>3.5553683859474133E-2</v>
      </c>
      <c r="I334" s="30">
        <f t="shared" ca="1" si="64"/>
        <v>13.309137095279539</v>
      </c>
      <c r="J334" s="30">
        <f t="shared" ca="1" si="65"/>
        <v>374.33918656316678</v>
      </c>
      <c r="K334" s="30">
        <f t="shared" ca="1" si="66"/>
        <v>2.6702806916961063E-163</v>
      </c>
      <c r="L334" s="30">
        <f t="shared" ca="1" si="67"/>
        <v>5.9870452434607389</v>
      </c>
      <c r="M334" s="1">
        <f t="shared" ca="1" si="68"/>
        <v>11.976758333428506</v>
      </c>
    </row>
    <row r="335" spans="1:13" x14ac:dyDescent="0.4">
      <c r="A335" s="1">
        <f t="shared" ca="1" si="60"/>
        <v>5.9870452434607389</v>
      </c>
      <c r="B335" s="30">
        <f t="shared" ca="1" si="69"/>
        <v>11.976758333428506</v>
      </c>
      <c r="C335" s="30">
        <f t="shared" ca="1" si="62"/>
        <v>-0.40591742831797495</v>
      </c>
      <c r="D335" s="30">
        <f t="shared" ca="1" si="61"/>
        <v>5.5811278151427643</v>
      </c>
      <c r="E335" s="30">
        <f t="shared" ca="1" si="70"/>
        <v>13.412360128044611</v>
      </c>
      <c r="F335" s="30">
        <f t="shared" ca="1" si="71"/>
        <v>0.95054883800206358</v>
      </c>
      <c r="G335" s="30">
        <v>333</v>
      </c>
      <c r="H335" s="30">
        <f t="shared" si="63"/>
        <v>3.5198147020879381E-2</v>
      </c>
      <c r="I335" s="30">
        <f t="shared" ca="1" si="64"/>
        <v>1.4356017946161046</v>
      </c>
      <c r="J335" s="30">
        <f t="shared" ca="1" si="65"/>
        <v>40.786288941986413</v>
      </c>
      <c r="K335" s="30">
        <f t="shared" ca="1" si="66"/>
        <v>1.9352620272362791E-18</v>
      </c>
      <c r="L335" s="30">
        <f t="shared" ca="1" si="67"/>
        <v>5.9870452434607389</v>
      </c>
      <c r="M335" s="1">
        <f t="shared" ca="1" si="68"/>
        <v>11.976758333428506</v>
      </c>
    </row>
    <row r="336" spans="1:13" x14ac:dyDescent="0.4">
      <c r="A336" s="1">
        <f t="shared" ca="1" si="60"/>
        <v>5.9870452434607389</v>
      </c>
      <c r="B336" s="30">
        <f t="shared" ca="1" si="69"/>
        <v>11.976758333428506</v>
      </c>
      <c r="C336" s="30">
        <f t="shared" ca="1" si="62"/>
        <v>-0.73539329844343082</v>
      </c>
      <c r="D336" s="30">
        <f t="shared" ca="1" si="61"/>
        <v>5.2516519450173078</v>
      </c>
      <c r="E336" s="30">
        <f t="shared" ca="1" si="70"/>
        <v>16.424580834951712</v>
      </c>
      <c r="F336" s="30">
        <f t="shared" ca="1" si="71"/>
        <v>0.76224480145979334</v>
      </c>
      <c r="G336" s="30">
        <v>334</v>
      </c>
      <c r="H336" s="30">
        <f t="shared" si="63"/>
        <v>3.4846165550670591E-2</v>
      </c>
      <c r="I336" s="30">
        <f t="shared" ca="1" si="64"/>
        <v>4.4478225015232056</v>
      </c>
      <c r="J336" s="30">
        <f t="shared" ca="1" si="65"/>
        <v>127.64166246801322</v>
      </c>
      <c r="K336" s="30">
        <f t="shared" ca="1" si="66"/>
        <v>3.6806992203182316E-56</v>
      </c>
      <c r="L336" s="30">
        <f t="shared" ca="1" si="67"/>
        <v>5.9870452434607389</v>
      </c>
      <c r="M336" s="1">
        <f t="shared" ca="1" si="68"/>
        <v>11.976758333428506</v>
      </c>
    </row>
    <row r="337" spans="1:13" x14ac:dyDescent="0.4">
      <c r="A337" s="1">
        <f t="shared" ca="1" si="60"/>
        <v>5.9870452434607389</v>
      </c>
      <c r="B337" s="30">
        <f t="shared" ca="1" si="69"/>
        <v>11.976758333428506</v>
      </c>
      <c r="C337" s="30">
        <f t="shared" ca="1" si="62"/>
        <v>0.10329028487320846</v>
      </c>
      <c r="D337" s="30">
        <f t="shared" ca="1" si="61"/>
        <v>6.0903355283339469</v>
      </c>
      <c r="E337" s="30">
        <f t="shared" ca="1" si="70"/>
        <v>12.317203243605036</v>
      </c>
      <c r="F337" s="30">
        <f t="shared" ca="1" si="71"/>
        <v>0.43259807243899462</v>
      </c>
      <c r="G337" s="30">
        <v>335</v>
      </c>
      <c r="H337" s="30">
        <f t="shared" si="63"/>
        <v>3.4497703895163885E-2</v>
      </c>
      <c r="I337" s="30">
        <f t="shared" ca="1" si="64"/>
        <v>0.34044491017652945</v>
      </c>
      <c r="J337" s="30">
        <f t="shared" ca="1" si="65"/>
        <v>9.868625205060539</v>
      </c>
      <c r="K337" s="30">
        <f t="shared" ca="1" si="66"/>
        <v>5.1773858147175038E-5</v>
      </c>
      <c r="L337" s="30">
        <f t="shared" ca="1" si="67"/>
        <v>5.9870452434607389</v>
      </c>
      <c r="M337" s="1">
        <f t="shared" ca="1" si="68"/>
        <v>11.976758333428506</v>
      </c>
    </row>
    <row r="338" spans="1:13" x14ac:dyDescent="0.4">
      <c r="A338" s="1">
        <f t="shared" ca="1" si="60"/>
        <v>5.9870452434607389</v>
      </c>
      <c r="B338" s="30">
        <f t="shared" ca="1" si="69"/>
        <v>11.976758333428506</v>
      </c>
      <c r="C338" s="30">
        <f t="shared" ca="1" si="62"/>
        <v>0.73050603912922307</v>
      </c>
      <c r="D338" s="30">
        <f t="shared" ca="1" si="61"/>
        <v>6.7175512825899624</v>
      </c>
      <c r="E338" s="30">
        <f t="shared" ca="1" si="70"/>
        <v>24.893902843039314</v>
      </c>
      <c r="F338" s="30">
        <f t="shared" ca="1" si="71"/>
        <v>0.61273034848443886</v>
      </c>
      <c r="G338" s="30">
        <v>336</v>
      </c>
      <c r="H338" s="30">
        <f t="shared" si="63"/>
        <v>3.4152726856212248E-2</v>
      </c>
      <c r="I338" s="30">
        <f t="shared" ca="1" si="64"/>
        <v>12.917144509610807</v>
      </c>
      <c r="J338" s="30">
        <f t="shared" ca="1" si="65"/>
        <v>378.21707660397925</v>
      </c>
      <c r="K338" s="30">
        <f t="shared" ca="1" si="66"/>
        <v>5.5259973118064579E-165</v>
      </c>
      <c r="L338" s="30">
        <f t="shared" ca="1" si="67"/>
        <v>5.9870452434607389</v>
      </c>
      <c r="M338" s="1">
        <f t="shared" ca="1" si="68"/>
        <v>11.976758333428506</v>
      </c>
    </row>
    <row r="339" spans="1:13" x14ac:dyDescent="0.4">
      <c r="A339" s="1">
        <f t="shared" ca="1" si="60"/>
        <v>5.9870452434607389</v>
      </c>
      <c r="B339" s="30">
        <f t="shared" ca="1" si="69"/>
        <v>11.976758333428506</v>
      </c>
      <c r="C339" s="30">
        <f t="shared" ca="1" si="62"/>
        <v>5.4710031601755027E-2</v>
      </c>
      <c r="D339" s="30">
        <f t="shared" ca="1" si="61"/>
        <v>6.0417552750624939</v>
      </c>
      <c r="E339" s="30">
        <f t="shared" ca="1" si="70"/>
        <v>12.111992041433496</v>
      </c>
      <c r="F339" s="30">
        <f t="shared" ca="1" si="71"/>
        <v>7.8262687237264261E-2</v>
      </c>
      <c r="G339" s="30">
        <v>337</v>
      </c>
      <c r="H339" s="30">
        <f t="shared" si="63"/>
        <v>3.3811199587650123E-2</v>
      </c>
      <c r="I339" s="30">
        <f t="shared" ca="1" si="64"/>
        <v>0.13523370800498924</v>
      </c>
      <c r="J339" s="30">
        <f t="shared" ca="1" si="65"/>
        <v>3.9996719919509953</v>
      </c>
      <c r="K339" s="30">
        <f t="shared" ca="1" si="66"/>
        <v>1.8321647551103288E-2</v>
      </c>
      <c r="L339" s="30">
        <f t="shared" ca="1" si="67"/>
        <v>5.9870452434607389</v>
      </c>
      <c r="M339" s="1">
        <f t="shared" ca="1" si="68"/>
        <v>11.976758333428506</v>
      </c>
    </row>
    <row r="340" spans="1:13" x14ac:dyDescent="0.4">
      <c r="A340" s="1">
        <f t="shared" ref="A340:A389" ca="1" si="72">L339</f>
        <v>5.9870452434607389</v>
      </c>
      <c r="B340" s="30">
        <f t="shared" ca="1" si="69"/>
        <v>11.976758333428506</v>
      </c>
      <c r="C340" s="30">
        <f t="shared" ca="1" si="62"/>
        <v>8.1650516364122128E-2</v>
      </c>
      <c r="D340" s="30">
        <f t="shared" ref="D340:D389" ca="1" si="73">A340+C340</f>
        <v>6.0686957598248608</v>
      </c>
      <c r="E340" s="30">
        <f t="shared" ca="1" si="70"/>
        <v>12.215512969669362</v>
      </c>
      <c r="F340" s="30">
        <f t="shared" ca="1" si="71"/>
        <v>0.21610074364319376</v>
      </c>
      <c r="G340" s="30">
        <v>338</v>
      </c>
      <c r="H340" s="30">
        <f t="shared" si="63"/>
        <v>3.3473087591773622E-2</v>
      </c>
      <c r="I340" s="30">
        <f t="shared" ca="1" si="64"/>
        <v>0.23875463624085569</v>
      </c>
      <c r="J340" s="30">
        <f t="shared" ca="1" si="65"/>
        <v>7.132734187913166</v>
      </c>
      <c r="K340" s="30">
        <f t="shared" ca="1" si="66"/>
        <v>7.9853306049762582E-4</v>
      </c>
      <c r="L340" s="30">
        <f t="shared" ca="1" si="67"/>
        <v>5.9870452434607389</v>
      </c>
      <c r="M340" s="1">
        <f t="shared" ca="1" si="68"/>
        <v>11.976758333428506</v>
      </c>
    </row>
    <row r="341" spans="1:13" x14ac:dyDescent="0.4">
      <c r="A341" s="1">
        <f t="shared" ca="1" si="72"/>
        <v>5.9870452434607389</v>
      </c>
      <c r="B341" s="30">
        <f t="shared" ca="1" si="69"/>
        <v>11.976758333428506</v>
      </c>
      <c r="C341" s="30">
        <f t="shared" ca="1" si="62"/>
        <v>0.78131221039947696</v>
      </c>
      <c r="D341" s="30">
        <f t="shared" ca="1" si="73"/>
        <v>6.768357453860216</v>
      </c>
      <c r="E341" s="30">
        <f t="shared" ca="1" si="70"/>
        <v>26.960167274424748</v>
      </c>
      <c r="F341" s="30">
        <f t="shared" ca="1" si="71"/>
        <v>0.7944170134708648</v>
      </c>
      <c r="G341" s="30">
        <v>339</v>
      </c>
      <c r="H341" s="30">
        <f t="shared" si="63"/>
        <v>3.3138356715855882E-2</v>
      </c>
      <c r="I341" s="30">
        <f t="shared" ca="1" si="64"/>
        <v>14.983408940996242</v>
      </c>
      <c r="J341" s="30">
        <f t="shared" ca="1" si="65"/>
        <v>452.14701107454289</v>
      </c>
      <c r="K341" s="30">
        <f t="shared" ca="1" si="66"/>
        <v>4.3156685348143474E-197</v>
      </c>
      <c r="L341" s="30">
        <f t="shared" ca="1" si="67"/>
        <v>5.9870452434607389</v>
      </c>
      <c r="M341" s="1">
        <f t="shared" ca="1" si="68"/>
        <v>11.976758333428506</v>
      </c>
    </row>
    <row r="342" spans="1:13" x14ac:dyDescent="0.4">
      <c r="A342" s="1">
        <f t="shared" ca="1" si="72"/>
        <v>5.9870452434607389</v>
      </c>
      <c r="B342" s="30">
        <f t="shared" ca="1" si="69"/>
        <v>11.976758333428506</v>
      </c>
      <c r="C342" s="30">
        <f t="shared" ca="1" si="62"/>
        <v>-0.13433228107856054</v>
      </c>
      <c r="D342" s="30">
        <f t="shared" ca="1" si="73"/>
        <v>5.8527129623821779</v>
      </c>
      <c r="E342" s="30">
        <f t="shared" ca="1" si="70"/>
        <v>12.027430737507075</v>
      </c>
      <c r="F342" s="30">
        <f t="shared" ca="1" si="71"/>
        <v>0.35475973372413472</v>
      </c>
      <c r="G342" s="30">
        <v>340</v>
      </c>
      <c r="H342" s="30">
        <f t="shared" si="63"/>
        <v>3.2806973148697328E-2</v>
      </c>
      <c r="I342" s="30">
        <f t="shared" ca="1" si="64"/>
        <v>5.0672404078568434E-2</v>
      </c>
      <c r="J342" s="30">
        <f t="shared" ca="1" si="65"/>
        <v>1.5445620005508034</v>
      </c>
      <c r="K342" s="30">
        <f t="shared" ca="1" si="66"/>
        <v>0.21340532216925548</v>
      </c>
      <c r="L342" s="30">
        <f t="shared" ca="1" si="67"/>
        <v>5.9870452434607389</v>
      </c>
      <c r="M342" s="1">
        <f t="shared" ca="1" si="68"/>
        <v>11.976758333428506</v>
      </c>
    </row>
    <row r="343" spans="1:13" x14ac:dyDescent="0.4">
      <c r="A343" s="1">
        <f t="shared" ca="1" si="72"/>
        <v>5.9870452434607389</v>
      </c>
      <c r="B343" s="30">
        <f t="shared" ca="1" si="69"/>
        <v>11.976758333428506</v>
      </c>
      <c r="C343" s="30">
        <f t="shared" ca="1" si="62"/>
        <v>0.32135122271589966</v>
      </c>
      <c r="D343" s="30">
        <f t="shared" ca="1" si="73"/>
        <v>6.3083964661766387</v>
      </c>
      <c r="E343" s="30">
        <f t="shared" ca="1" si="70"/>
        <v>14.382221329200547</v>
      </c>
      <c r="F343" s="30">
        <f t="shared" ca="1" si="71"/>
        <v>0.20432308398392762</v>
      </c>
      <c r="G343" s="30">
        <v>341</v>
      </c>
      <c r="H343" s="30">
        <f t="shared" si="63"/>
        <v>3.2478903417210353E-2</v>
      </c>
      <c r="I343" s="30">
        <f t="shared" ca="1" si="64"/>
        <v>2.4054629957720408</v>
      </c>
      <c r="J343" s="30">
        <f t="shared" ca="1" si="65"/>
        <v>74.06232177461392</v>
      </c>
      <c r="K343" s="30">
        <f t="shared" ca="1" si="66"/>
        <v>6.8413583027266432E-33</v>
      </c>
      <c r="L343" s="30">
        <f t="shared" ca="1" si="67"/>
        <v>5.9870452434607389</v>
      </c>
      <c r="M343" s="1">
        <f t="shared" ca="1" si="68"/>
        <v>11.976758333428506</v>
      </c>
    </row>
    <row r="344" spans="1:13" x14ac:dyDescent="0.4">
      <c r="A344" s="1">
        <f t="shared" ca="1" si="72"/>
        <v>5.9870452434607389</v>
      </c>
      <c r="B344" s="30">
        <f t="shared" ca="1" si="69"/>
        <v>11.976758333428506</v>
      </c>
      <c r="C344" s="30">
        <f t="shared" ca="1" si="62"/>
        <v>-0.24470049753806</v>
      </c>
      <c r="D344" s="30">
        <f t="shared" ca="1" si="73"/>
        <v>5.7423447459226793</v>
      </c>
      <c r="E344" s="30">
        <f t="shared" ca="1" si="70"/>
        <v>12.414438215063456</v>
      </c>
      <c r="F344" s="30">
        <f t="shared" ca="1" si="71"/>
        <v>0.50876426199026703</v>
      </c>
      <c r="G344" s="30">
        <v>342</v>
      </c>
      <c r="H344" s="30">
        <f t="shared" si="63"/>
        <v>3.2154114383038244E-2</v>
      </c>
      <c r="I344" s="30">
        <f t="shared" ca="1" si="64"/>
        <v>0.4376798816349492</v>
      </c>
      <c r="J344" s="30">
        <f t="shared" ca="1" si="65"/>
        <v>13.611940183488045</v>
      </c>
      <c r="K344" s="30">
        <f t="shared" ca="1" si="66"/>
        <v>1.2257714176274129E-6</v>
      </c>
      <c r="L344" s="30">
        <f t="shared" ca="1" si="67"/>
        <v>5.9870452434607389</v>
      </c>
      <c r="M344" s="1">
        <f t="shared" ca="1" si="68"/>
        <v>11.976758333428506</v>
      </c>
    </row>
    <row r="345" spans="1:13" x14ac:dyDescent="0.4">
      <c r="A345" s="1">
        <f t="shared" ca="1" si="72"/>
        <v>5.9870452434607389</v>
      </c>
      <c r="B345" s="30">
        <f t="shared" ca="1" si="69"/>
        <v>11.976758333428506</v>
      </c>
      <c r="C345" s="30">
        <f t="shared" ca="1" si="62"/>
        <v>0.91221908843496924</v>
      </c>
      <c r="D345" s="30">
        <f t="shared" ca="1" si="73"/>
        <v>6.8992643318957079</v>
      </c>
      <c r="E345" s="30">
        <f t="shared" ca="1" si="70"/>
        <v>33.209017801302252</v>
      </c>
      <c r="F345" s="30">
        <f t="shared" ca="1" si="71"/>
        <v>0.78810191488188153</v>
      </c>
      <c r="G345" s="30">
        <v>343</v>
      </c>
      <c r="H345" s="30">
        <f t="shared" si="63"/>
        <v>3.1832573239207872E-2</v>
      </c>
      <c r="I345" s="30">
        <f t="shared" ca="1" si="64"/>
        <v>21.232259467873746</v>
      </c>
      <c r="J345" s="30">
        <f t="shared" ca="1" si="65"/>
        <v>666.99789892330091</v>
      </c>
      <c r="K345" s="30">
        <f t="shared" ca="1" si="66"/>
        <v>2.1207674862212999E-290</v>
      </c>
      <c r="L345" s="30">
        <f t="shared" ca="1" si="67"/>
        <v>5.9870452434607389</v>
      </c>
      <c r="M345" s="1">
        <f t="shared" ca="1" si="68"/>
        <v>11.976758333428506</v>
      </c>
    </row>
    <row r="346" spans="1:13" x14ac:dyDescent="0.4">
      <c r="A346" s="1">
        <f t="shared" ca="1" si="72"/>
        <v>5.9870452434607389</v>
      </c>
      <c r="B346" s="30">
        <f t="shared" ca="1" si="69"/>
        <v>11.976758333428506</v>
      </c>
      <c r="C346" s="30">
        <f t="shared" ca="1" si="62"/>
        <v>-0.78843328318512818</v>
      </c>
      <c r="D346" s="30">
        <f t="shared" ca="1" si="73"/>
        <v>5.1986119602756107</v>
      </c>
      <c r="E346" s="30">
        <f t="shared" ca="1" si="70"/>
        <v>16.967881372910483</v>
      </c>
      <c r="F346" s="30">
        <f t="shared" ca="1" si="71"/>
        <v>0.55585940031033254</v>
      </c>
      <c r="G346" s="30">
        <v>344</v>
      </c>
      <c r="H346" s="30">
        <f t="shared" si="63"/>
        <v>3.1514247506815786E-2</v>
      </c>
      <c r="I346" s="30">
        <f t="shared" ca="1" si="64"/>
        <v>4.9911230394819768</v>
      </c>
      <c r="J346" s="30">
        <f t="shared" ca="1" si="65"/>
        <v>158.37671638526399</v>
      </c>
      <c r="K346" s="30">
        <f t="shared" ca="1" si="66"/>
        <v>1.6514522153256826E-69</v>
      </c>
      <c r="L346" s="30">
        <f t="shared" ca="1" si="67"/>
        <v>5.9870452434607389</v>
      </c>
      <c r="M346" s="1">
        <f t="shared" ca="1" si="68"/>
        <v>11.976758333428506</v>
      </c>
    </row>
    <row r="347" spans="1:13" x14ac:dyDescent="0.4">
      <c r="A347" s="1">
        <f t="shared" ca="1" si="72"/>
        <v>5.9870452434607389</v>
      </c>
      <c r="B347" s="30">
        <f t="shared" ca="1" si="69"/>
        <v>11.976758333428506</v>
      </c>
      <c r="C347" s="30">
        <f t="shared" ca="1" si="62"/>
        <v>0.71045075003138325</v>
      </c>
      <c r="D347" s="30">
        <f t="shared" ca="1" si="73"/>
        <v>6.6974959934921223</v>
      </c>
      <c r="E347" s="30">
        <f t="shared" ca="1" si="70"/>
        <v>24.130343549760482</v>
      </c>
      <c r="F347" s="30">
        <f t="shared" ca="1" si="71"/>
        <v>0.24062104538344908</v>
      </c>
      <c r="G347" s="30">
        <v>345</v>
      </c>
      <c r="H347" s="30">
        <f t="shared" si="63"/>
        <v>3.119910503174763E-2</v>
      </c>
      <c r="I347" s="30">
        <f t="shared" ca="1" si="64"/>
        <v>12.153585216331976</v>
      </c>
      <c r="J347" s="30">
        <f t="shared" ca="1" si="65"/>
        <v>389.5491618738651</v>
      </c>
      <c r="K347" s="30">
        <f t="shared" ca="1" si="66"/>
        <v>6.6213808454433328E-170</v>
      </c>
      <c r="L347" s="30">
        <f t="shared" ca="1" si="67"/>
        <v>5.9870452434607389</v>
      </c>
      <c r="M347" s="1">
        <f t="shared" ca="1" si="68"/>
        <v>11.976758333428506</v>
      </c>
    </row>
    <row r="348" spans="1:13" x14ac:dyDescent="0.4">
      <c r="A348" s="1">
        <f t="shared" ca="1" si="72"/>
        <v>5.9870452434607389</v>
      </c>
      <c r="B348" s="30">
        <f t="shared" ca="1" si="69"/>
        <v>11.976758333428506</v>
      </c>
      <c r="C348" s="30">
        <f t="shared" ca="1" si="62"/>
        <v>-0.5628743426815257</v>
      </c>
      <c r="D348" s="30">
        <f t="shared" ca="1" si="73"/>
        <v>5.4241709007792132</v>
      </c>
      <c r="E348" s="30">
        <f t="shared" ca="1" si="70"/>
        <v>14.736089566352575</v>
      </c>
      <c r="F348" s="30">
        <f t="shared" ca="1" si="71"/>
        <v>0.47580131710638829</v>
      </c>
      <c r="G348" s="30">
        <v>346</v>
      </c>
      <c r="H348" s="30">
        <f t="shared" si="63"/>
        <v>3.0887113981430153E-2</v>
      </c>
      <c r="I348" s="30">
        <f t="shared" ca="1" si="64"/>
        <v>2.7593312329240689</v>
      </c>
      <c r="J348" s="30">
        <f t="shared" ca="1" si="65"/>
        <v>89.336000591800996</v>
      </c>
      <c r="K348" s="30">
        <f t="shared" ca="1" si="66"/>
        <v>1.5917245243275523E-39</v>
      </c>
      <c r="L348" s="30">
        <f t="shared" ca="1" si="67"/>
        <v>5.9870452434607389</v>
      </c>
      <c r="M348" s="1">
        <f t="shared" ca="1" si="68"/>
        <v>11.976758333428506</v>
      </c>
    </row>
    <row r="349" spans="1:13" x14ac:dyDescent="0.4">
      <c r="A349" s="1">
        <f t="shared" ca="1" si="72"/>
        <v>5.9870452434607389</v>
      </c>
      <c r="B349" s="30">
        <f t="shared" ca="1" si="69"/>
        <v>11.976758333428506</v>
      </c>
      <c r="C349" s="30">
        <f t="shared" ca="1" si="62"/>
        <v>2.1555007236000456E-2</v>
      </c>
      <c r="D349" s="30">
        <f t="shared" ca="1" si="73"/>
        <v>6.0086002506967393</v>
      </c>
      <c r="E349" s="30">
        <f t="shared" ca="1" si="70"/>
        <v>12.018389024749695</v>
      </c>
      <c r="F349" s="30">
        <f t="shared" ca="1" si="71"/>
        <v>0.60421351514220489</v>
      </c>
      <c r="G349" s="30">
        <v>347</v>
      </c>
      <c r="H349" s="30">
        <f t="shared" si="63"/>
        <v>3.0578242841615852E-2</v>
      </c>
      <c r="I349" s="30">
        <f t="shared" ca="1" si="64"/>
        <v>4.1630691321188351E-2</v>
      </c>
      <c r="J349" s="30">
        <f t="shared" ca="1" si="65"/>
        <v>1.3614481229945146</v>
      </c>
      <c r="K349" s="30">
        <f t="shared" ca="1" si="66"/>
        <v>0.25628936956735293</v>
      </c>
      <c r="L349" s="30">
        <f t="shared" ca="1" si="67"/>
        <v>5.9870452434607389</v>
      </c>
      <c r="M349" s="1">
        <f t="shared" ca="1" si="68"/>
        <v>11.976758333428506</v>
      </c>
    </row>
    <row r="350" spans="1:13" x14ac:dyDescent="0.4">
      <c r="A350" s="1">
        <f t="shared" ca="1" si="72"/>
        <v>5.9870452434607389</v>
      </c>
      <c r="B350" s="30">
        <f t="shared" ca="1" si="69"/>
        <v>11.976758333428506</v>
      </c>
      <c r="C350" s="30">
        <f t="shared" ca="1" si="62"/>
        <v>0.76164355143787121</v>
      </c>
      <c r="D350" s="30">
        <f t="shared" ca="1" si="73"/>
        <v>6.7486887948986105</v>
      </c>
      <c r="E350" s="30">
        <f t="shared" ca="1" si="70"/>
        <v>26.137465222389892</v>
      </c>
      <c r="F350" s="30">
        <f t="shared" ca="1" si="71"/>
        <v>0.66499720537188112</v>
      </c>
      <c r="G350" s="30">
        <v>348</v>
      </c>
      <c r="H350" s="30">
        <f t="shared" si="63"/>
        <v>3.0272460413199691E-2</v>
      </c>
      <c r="I350" s="30">
        <f t="shared" ca="1" si="64"/>
        <v>14.160706888961386</v>
      </c>
      <c r="J350" s="30">
        <f t="shared" ca="1" si="65"/>
        <v>467.77522195674908</v>
      </c>
      <c r="K350" s="30">
        <f t="shared" ca="1" si="66"/>
        <v>7.0437240454511859E-204</v>
      </c>
      <c r="L350" s="30">
        <f t="shared" ca="1" si="67"/>
        <v>5.9870452434607389</v>
      </c>
      <c r="M350" s="1">
        <f t="shared" ca="1" si="68"/>
        <v>11.976758333428506</v>
      </c>
    </row>
    <row r="351" spans="1:13" x14ac:dyDescent="0.4">
      <c r="A351" s="1">
        <f t="shared" ca="1" si="72"/>
        <v>5.9870452434607389</v>
      </c>
      <c r="B351" s="30">
        <f t="shared" ca="1" si="69"/>
        <v>11.976758333428506</v>
      </c>
      <c r="C351" s="30">
        <f t="shared" ca="1" si="62"/>
        <v>0.55476988774242098</v>
      </c>
      <c r="D351" s="30">
        <f t="shared" ca="1" si="73"/>
        <v>6.54181513120316</v>
      </c>
      <c r="E351" s="30">
        <f t="shared" ca="1" si="70"/>
        <v>19.13928581481764</v>
      </c>
      <c r="F351" s="30">
        <f t="shared" ca="1" si="71"/>
        <v>0.38404558246437848</v>
      </c>
      <c r="G351" s="30">
        <v>349</v>
      </c>
      <c r="H351" s="30">
        <f t="shared" si="63"/>
        <v>2.9969735809067689E-2</v>
      </c>
      <c r="I351" s="30">
        <f t="shared" ca="1" si="64"/>
        <v>7.1625274813891338</v>
      </c>
      <c r="J351" s="30">
        <f t="shared" ca="1" si="65"/>
        <v>238.99201270976931</v>
      </c>
      <c r="K351" s="30">
        <f t="shared" ca="1" si="66"/>
        <v>1.6109707725632762E-104</v>
      </c>
      <c r="L351" s="30">
        <f t="shared" ca="1" si="67"/>
        <v>5.9870452434607389</v>
      </c>
      <c r="M351" s="1">
        <f t="shared" ca="1" si="68"/>
        <v>11.976758333428506</v>
      </c>
    </row>
    <row r="352" spans="1:13" x14ac:dyDescent="0.4">
      <c r="A352" s="1">
        <f t="shared" ca="1" si="72"/>
        <v>5.9870452434607389</v>
      </c>
      <c r="B352" s="30">
        <f t="shared" ca="1" si="69"/>
        <v>11.976758333428506</v>
      </c>
      <c r="C352" s="30">
        <f t="shared" ca="1" si="62"/>
        <v>0.63728484710916211</v>
      </c>
      <c r="D352" s="30">
        <f t="shared" ca="1" si="73"/>
        <v>6.6243300905699005</v>
      </c>
      <c r="E352" s="30">
        <f t="shared" ca="1" si="70"/>
        <v>21.584055234634661</v>
      </c>
      <c r="F352" s="30">
        <f t="shared" ca="1" si="71"/>
        <v>0.60906561329227482</v>
      </c>
      <c r="G352" s="30">
        <v>350</v>
      </c>
      <c r="H352" s="30">
        <f t="shared" si="63"/>
        <v>2.9670038450977015E-2</v>
      </c>
      <c r="I352" s="30">
        <f t="shared" ca="1" si="64"/>
        <v>9.6072969012061549</v>
      </c>
      <c r="J352" s="30">
        <f t="shared" ca="1" si="65"/>
        <v>323.80466634986084</v>
      </c>
      <c r="K352" s="30">
        <f t="shared" ca="1" si="66"/>
        <v>2.3627631544265027E-141</v>
      </c>
      <c r="L352" s="30">
        <f t="shared" ca="1" si="67"/>
        <v>5.9870452434607389</v>
      </c>
      <c r="M352" s="1">
        <f t="shared" ca="1" si="68"/>
        <v>11.976758333428506</v>
      </c>
    </row>
    <row r="353" spans="1:13" x14ac:dyDescent="0.4">
      <c r="A353" s="1">
        <f t="shared" ca="1" si="72"/>
        <v>5.9870452434607389</v>
      </c>
      <c r="B353" s="30">
        <f t="shared" ca="1" si="69"/>
        <v>11.976758333428506</v>
      </c>
      <c r="C353" s="30">
        <f t="shared" ca="1" si="62"/>
        <v>-0.60046504678519041</v>
      </c>
      <c r="D353" s="30">
        <f t="shared" ca="1" si="73"/>
        <v>5.3865801966755482</v>
      </c>
      <c r="E353" s="30">
        <f t="shared" ca="1" si="70"/>
        <v>15.088731867568981</v>
      </c>
      <c r="F353" s="30">
        <f t="shared" ca="1" si="71"/>
        <v>0.61145136809897171</v>
      </c>
      <c r="G353" s="30">
        <v>351</v>
      </c>
      <c r="H353" s="30">
        <f t="shared" si="63"/>
        <v>2.9373338066467247E-2</v>
      </c>
      <c r="I353" s="30">
        <f t="shared" ca="1" si="64"/>
        <v>3.1119735341404748</v>
      </c>
      <c r="J353" s="30">
        <f t="shared" ca="1" si="65"/>
        <v>105.94551858895193</v>
      </c>
      <c r="K353" s="30">
        <f t="shared" ca="1" si="66"/>
        <v>9.7374646585026885E-47</v>
      </c>
      <c r="L353" s="30">
        <f t="shared" ca="1" si="67"/>
        <v>5.9870452434607389</v>
      </c>
      <c r="M353" s="1">
        <f t="shared" ca="1" si="68"/>
        <v>11.976758333428506</v>
      </c>
    </row>
    <row r="354" spans="1:13" x14ac:dyDescent="0.4">
      <c r="A354" s="1">
        <f t="shared" ca="1" si="72"/>
        <v>5.9870452434607389</v>
      </c>
      <c r="B354" s="30">
        <f t="shared" ca="1" si="69"/>
        <v>11.976758333428506</v>
      </c>
      <c r="C354" s="30">
        <f t="shared" ca="1" si="62"/>
        <v>-0.37143268316997302</v>
      </c>
      <c r="D354" s="30">
        <f t="shared" ca="1" si="73"/>
        <v>5.6156125602907654</v>
      </c>
      <c r="E354" s="30">
        <f t="shared" ca="1" si="70"/>
        <v>13.162758195160677</v>
      </c>
      <c r="F354" s="30">
        <f t="shared" ca="1" si="71"/>
        <v>0.29809061246031543</v>
      </c>
      <c r="G354" s="30">
        <v>352</v>
      </c>
      <c r="H354" s="30">
        <f t="shared" si="63"/>
        <v>2.9079604685802569E-2</v>
      </c>
      <c r="I354" s="30">
        <f t="shared" ca="1" si="64"/>
        <v>1.1859998617321708</v>
      </c>
      <c r="J354" s="30">
        <f t="shared" ca="1" si="65"/>
        <v>40.784593688483227</v>
      </c>
      <c r="K354" s="30">
        <f t="shared" ca="1" si="66"/>
        <v>1.9385455693993354E-18</v>
      </c>
      <c r="L354" s="30">
        <f t="shared" ca="1" si="67"/>
        <v>5.9870452434607389</v>
      </c>
      <c r="M354" s="1">
        <f t="shared" ca="1" si="68"/>
        <v>11.976758333428506</v>
      </c>
    </row>
    <row r="355" spans="1:13" x14ac:dyDescent="0.4">
      <c r="A355" s="1">
        <f t="shared" ca="1" si="72"/>
        <v>5.9870452434607389</v>
      </c>
      <c r="B355" s="30">
        <f t="shared" ca="1" si="69"/>
        <v>11.976758333428506</v>
      </c>
      <c r="C355" s="30">
        <f t="shared" ca="1" si="62"/>
        <v>-0.57618777419839518</v>
      </c>
      <c r="D355" s="30">
        <f t="shared" ca="1" si="73"/>
        <v>5.4108574692623437</v>
      </c>
      <c r="E355" s="30">
        <f t="shared" ca="1" si="70"/>
        <v>14.859729637411419</v>
      </c>
      <c r="F355" s="30">
        <f t="shared" ca="1" si="71"/>
        <v>0.55295345570117194</v>
      </c>
      <c r="G355" s="30">
        <v>353</v>
      </c>
      <c r="H355" s="30">
        <f t="shared" si="63"/>
        <v>2.8788808638944546E-2</v>
      </c>
      <c r="I355" s="30">
        <f t="shared" ca="1" si="64"/>
        <v>2.882971303982913</v>
      </c>
      <c r="J355" s="30">
        <f t="shared" ca="1" si="65"/>
        <v>100.14208438215553</v>
      </c>
      <c r="K355" s="30">
        <f t="shared" ca="1" si="66"/>
        <v>3.2273446507497572E-44</v>
      </c>
      <c r="L355" s="30">
        <f t="shared" ca="1" si="67"/>
        <v>5.9870452434607389</v>
      </c>
      <c r="M355" s="1">
        <f t="shared" ca="1" si="68"/>
        <v>11.976758333428506</v>
      </c>
    </row>
    <row r="356" spans="1:13" x14ac:dyDescent="0.4">
      <c r="A356" s="1">
        <f t="shared" ca="1" si="72"/>
        <v>5.9870452434607389</v>
      </c>
      <c r="B356" s="30">
        <f t="shared" ca="1" si="69"/>
        <v>11.976758333428506</v>
      </c>
      <c r="C356" s="30">
        <f t="shared" ca="1" si="62"/>
        <v>-0.14805256615107809</v>
      </c>
      <c r="D356" s="30">
        <f t="shared" ca="1" si="73"/>
        <v>5.838992677309661</v>
      </c>
      <c r="E356" s="30">
        <f t="shared" ca="1" si="70"/>
        <v>12.060040298782951</v>
      </c>
      <c r="F356" s="30">
        <f t="shared" ca="1" si="71"/>
        <v>0.3319026549419456</v>
      </c>
      <c r="G356" s="30">
        <v>354</v>
      </c>
      <c r="H356" s="30">
        <f t="shared" si="63"/>
        <v>2.8500920552555101E-2</v>
      </c>
      <c r="I356" s="30">
        <f t="shared" ca="1" si="64"/>
        <v>8.3281965354444765E-2</v>
      </c>
      <c r="J356" s="30">
        <f t="shared" ca="1" si="65"/>
        <v>2.9220798395221852</v>
      </c>
      <c r="K356" s="30">
        <f t="shared" ca="1" si="66"/>
        <v>5.3821630456451892E-2</v>
      </c>
      <c r="L356" s="30">
        <f t="shared" ca="1" si="67"/>
        <v>5.9870452434607389</v>
      </c>
      <c r="M356" s="1">
        <f t="shared" ca="1" si="68"/>
        <v>11.976758333428506</v>
      </c>
    </row>
    <row r="357" spans="1:13" x14ac:dyDescent="0.4">
      <c r="A357" s="1">
        <f t="shared" ca="1" si="72"/>
        <v>5.9870452434607389</v>
      </c>
      <c r="B357" s="30">
        <f t="shared" ca="1" si="69"/>
        <v>11.976758333428506</v>
      </c>
      <c r="C357" s="30">
        <f t="shared" ca="1" si="62"/>
        <v>-0.75547744301768183</v>
      </c>
      <c r="D357" s="30">
        <f t="shared" ca="1" si="73"/>
        <v>5.2315678004430568</v>
      </c>
      <c r="E357" s="30">
        <f t="shared" ca="1" si="70"/>
        <v>16.629620237808354</v>
      </c>
      <c r="F357" s="30">
        <f t="shared" ca="1" si="71"/>
        <v>0.57929883231682611</v>
      </c>
      <c r="G357" s="30">
        <v>355</v>
      </c>
      <c r="H357" s="30">
        <f t="shared" si="63"/>
        <v>2.8215911347029547E-2</v>
      </c>
      <c r="I357" s="30">
        <f t="shared" ca="1" si="64"/>
        <v>4.6528619043798471</v>
      </c>
      <c r="J357" s="30">
        <f t="shared" ca="1" si="65"/>
        <v>164.902059946034</v>
      </c>
      <c r="K357" s="30">
        <f t="shared" ca="1" si="66"/>
        <v>2.4207241950098011E-72</v>
      </c>
      <c r="L357" s="30">
        <f t="shared" ca="1" si="67"/>
        <v>5.9870452434607389</v>
      </c>
      <c r="M357" s="1">
        <f t="shared" ca="1" si="68"/>
        <v>11.976758333428506</v>
      </c>
    </row>
    <row r="358" spans="1:13" x14ac:dyDescent="0.4">
      <c r="A358" s="1">
        <f t="shared" ca="1" si="72"/>
        <v>5.9870452434607389</v>
      </c>
      <c r="B358" s="30">
        <f t="shared" ca="1" si="69"/>
        <v>11.976758333428506</v>
      </c>
      <c r="C358" s="30">
        <f t="shared" ca="1" si="62"/>
        <v>-0.14064137065006399</v>
      </c>
      <c r="D358" s="30">
        <f t="shared" ca="1" si="73"/>
        <v>5.8464038728106749</v>
      </c>
      <c r="E358" s="30">
        <f t="shared" ca="1" si="70"/>
        <v>12.041843805449389</v>
      </c>
      <c r="F358" s="30">
        <f t="shared" ca="1" si="71"/>
        <v>0.66045119824631604</v>
      </c>
      <c r="G358" s="30">
        <v>356</v>
      </c>
      <c r="H358" s="30">
        <f t="shared" si="63"/>
        <v>2.7933752233559254E-2</v>
      </c>
      <c r="I358" s="30">
        <f t="shared" ca="1" si="64"/>
        <v>6.5085472020882662E-2</v>
      </c>
      <c r="J358" s="30">
        <f t="shared" ca="1" si="65"/>
        <v>2.3299938897105918</v>
      </c>
      <c r="K358" s="30">
        <f t="shared" ca="1" si="66"/>
        <v>9.7296341596521965E-2</v>
      </c>
      <c r="L358" s="30">
        <f t="shared" ca="1" si="67"/>
        <v>5.9870452434607389</v>
      </c>
      <c r="M358" s="1">
        <f t="shared" ca="1" si="68"/>
        <v>11.976758333428506</v>
      </c>
    </row>
    <row r="359" spans="1:13" x14ac:dyDescent="0.4">
      <c r="A359" s="1">
        <f t="shared" ca="1" si="72"/>
        <v>5.9870452434607389</v>
      </c>
      <c r="B359" s="30">
        <f t="shared" ca="1" si="69"/>
        <v>11.976758333428506</v>
      </c>
      <c r="C359" s="30">
        <f t="shared" ca="1" si="62"/>
        <v>0.39683394534173022</v>
      </c>
      <c r="D359" s="30">
        <f t="shared" ca="1" si="73"/>
        <v>6.3838791888024691</v>
      </c>
      <c r="E359" s="30">
        <f t="shared" ca="1" si="70"/>
        <v>15.599843427595943</v>
      </c>
      <c r="F359" s="30">
        <f t="shared" ca="1" si="71"/>
        <v>0.31756823546271329</v>
      </c>
      <c r="G359" s="30">
        <v>357</v>
      </c>
      <c r="H359" s="30">
        <f t="shared" si="63"/>
        <v>2.7654414711223662E-2</v>
      </c>
      <c r="I359" s="30">
        <f t="shared" ca="1" si="64"/>
        <v>3.6230850941674362</v>
      </c>
      <c r="J359" s="30">
        <f t="shared" ca="1" si="65"/>
        <v>131.01290090572741</v>
      </c>
      <c r="K359" s="30">
        <f t="shared" ca="1" si="66"/>
        <v>1.2642124952592268E-57</v>
      </c>
      <c r="L359" s="30">
        <f t="shared" ca="1" si="67"/>
        <v>5.9870452434607389</v>
      </c>
      <c r="M359" s="1">
        <f t="shared" ca="1" si="68"/>
        <v>11.976758333428506</v>
      </c>
    </row>
    <row r="360" spans="1:13" x14ac:dyDescent="0.4">
      <c r="A360" s="1">
        <f t="shared" ca="1" si="72"/>
        <v>5.9870452434607389</v>
      </c>
      <c r="B360" s="30">
        <f t="shared" ca="1" si="69"/>
        <v>11.976758333428506</v>
      </c>
      <c r="C360" s="30">
        <f t="shared" ca="1" si="62"/>
        <v>-0.24050123272922175</v>
      </c>
      <c r="D360" s="30">
        <f t="shared" ca="1" si="73"/>
        <v>5.7465440107315171</v>
      </c>
      <c r="E360" s="30">
        <f t="shared" ca="1" si="70"/>
        <v>12.394797829801519</v>
      </c>
      <c r="F360" s="30">
        <f t="shared" ca="1" si="71"/>
        <v>0.85547153480076599</v>
      </c>
      <c r="G360" s="30">
        <v>358</v>
      </c>
      <c r="H360" s="30">
        <f t="shared" si="63"/>
        <v>2.7377870564111423E-2</v>
      </c>
      <c r="I360" s="30">
        <f t="shared" ca="1" si="64"/>
        <v>0.4180394963730123</v>
      </c>
      <c r="J360" s="30">
        <f t="shared" ca="1" si="65"/>
        <v>15.269248037172177</v>
      </c>
      <c r="K360" s="30">
        <f t="shared" ca="1" si="66"/>
        <v>2.3369522280704308E-7</v>
      </c>
      <c r="L360" s="30">
        <f t="shared" ca="1" si="67"/>
        <v>5.9870452434607389</v>
      </c>
      <c r="M360" s="1">
        <f t="shared" ca="1" si="68"/>
        <v>11.976758333428506</v>
      </c>
    </row>
    <row r="361" spans="1:13" x14ac:dyDescent="0.4">
      <c r="A361" s="1">
        <f t="shared" ca="1" si="72"/>
        <v>5.9870452434607389</v>
      </c>
      <c r="B361" s="30">
        <f t="shared" ca="1" si="69"/>
        <v>11.976758333428506</v>
      </c>
      <c r="C361" s="30">
        <f t="shared" ca="1" si="62"/>
        <v>-0.23215237167766078</v>
      </c>
      <c r="D361" s="30">
        <f t="shared" ca="1" si="73"/>
        <v>5.7548928717830776</v>
      </c>
      <c r="E361" s="30">
        <f t="shared" ca="1" si="70"/>
        <v>12.356831722532888</v>
      </c>
      <c r="F361" s="30">
        <f t="shared" ca="1" si="71"/>
        <v>0.51323412326959539</v>
      </c>
      <c r="G361" s="30">
        <v>359</v>
      </c>
      <c r="H361" s="30">
        <f t="shared" si="63"/>
        <v>2.7104091858470309E-2</v>
      </c>
      <c r="I361" s="30">
        <f t="shared" ca="1" si="64"/>
        <v>0.38007338910438193</v>
      </c>
      <c r="J361" s="30">
        <f t="shared" ca="1" si="65"/>
        <v>14.02273099903198</v>
      </c>
      <c r="K361" s="30">
        <f t="shared" ca="1" si="66"/>
        <v>8.1284044682045638E-7</v>
      </c>
      <c r="L361" s="30">
        <f t="shared" ca="1" si="67"/>
        <v>5.9870452434607389</v>
      </c>
      <c r="M361" s="1">
        <f t="shared" ca="1" si="68"/>
        <v>11.976758333428506</v>
      </c>
    </row>
    <row r="362" spans="1:13" x14ac:dyDescent="0.4">
      <c r="A362" s="1">
        <f t="shared" ca="1" si="72"/>
        <v>5.9870452434607389</v>
      </c>
      <c r="B362" s="30">
        <f t="shared" ca="1" si="69"/>
        <v>11.976758333428506</v>
      </c>
      <c r="C362" s="30">
        <f t="shared" ca="1" si="62"/>
        <v>0.84745696597507814</v>
      </c>
      <c r="D362" s="30">
        <f t="shared" ca="1" si="73"/>
        <v>6.8345022094358168</v>
      </c>
      <c r="E362" s="30">
        <f t="shared" ca="1" si="70"/>
        <v>29.945410172192396</v>
      </c>
      <c r="F362" s="30">
        <f t="shared" ca="1" si="71"/>
        <v>0.72839316650809716</v>
      </c>
      <c r="G362" s="30">
        <v>360</v>
      </c>
      <c r="H362" s="30">
        <f t="shared" si="63"/>
        <v>2.6833050939885604E-2</v>
      </c>
      <c r="I362" s="30">
        <f t="shared" ca="1" si="64"/>
        <v>17.96865183876389</v>
      </c>
      <c r="J362" s="30">
        <f t="shared" ca="1" si="65"/>
        <v>669.64624630345872</v>
      </c>
      <c r="K362" s="30">
        <f t="shared" ca="1" si="66"/>
        <v>1.5008262020036743E-291</v>
      </c>
      <c r="L362" s="30">
        <f t="shared" ca="1" si="67"/>
        <v>5.9870452434607389</v>
      </c>
      <c r="M362" s="1">
        <f t="shared" ca="1" si="68"/>
        <v>11.976758333428506</v>
      </c>
    </row>
    <row r="363" spans="1:13" x14ac:dyDescent="0.4">
      <c r="A363" s="1">
        <f t="shared" ca="1" si="72"/>
        <v>5.9870452434607389</v>
      </c>
      <c r="B363" s="30">
        <f t="shared" ca="1" si="69"/>
        <v>11.976758333428506</v>
      </c>
      <c r="C363" s="30">
        <f t="shared" ca="1" si="62"/>
        <v>0.84737763964384683</v>
      </c>
      <c r="D363" s="30">
        <f t="shared" ca="1" si="73"/>
        <v>6.8344228831045859</v>
      </c>
      <c r="E363" s="30">
        <f t="shared" ca="1" si="70"/>
        <v>29.941623220004658</v>
      </c>
      <c r="F363" s="30">
        <f t="shared" ca="1" si="71"/>
        <v>0.32984560380163142</v>
      </c>
      <c r="G363" s="30">
        <v>361</v>
      </c>
      <c r="H363" s="30">
        <f t="shared" si="63"/>
        <v>2.6564720430486747E-2</v>
      </c>
      <c r="I363" s="30">
        <f t="shared" ca="1" si="64"/>
        <v>17.964864886576152</v>
      </c>
      <c r="J363" s="30">
        <f t="shared" ca="1" si="65"/>
        <v>676.26779410631207</v>
      </c>
      <c r="K363" s="30">
        <f t="shared" ca="1" si="66"/>
        <v>1.9981529601693423E-294</v>
      </c>
      <c r="L363" s="30">
        <f t="shared" ca="1" si="67"/>
        <v>5.9870452434607389</v>
      </c>
      <c r="M363" s="1">
        <f t="shared" ca="1" si="68"/>
        <v>11.976758333428506</v>
      </c>
    </row>
    <row r="364" spans="1:13" x14ac:dyDescent="0.4">
      <c r="A364" s="1">
        <f t="shared" ca="1" si="72"/>
        <v>5.9870452434607389</v>
      </c>
      <c r="B364" s="30">
        <f t="shared" ca="1" si="69"/>
        <v>11.976758333428506</v>
      </c>
      <c r="C364" s="30">
        <f t="shared" ca="1" si="62"/>
        <v>-0.44327393369803691</v>
      </c>
      <c r="D364" s="30">
        <f t="shared" ca="1" si="73"/>
        <v>5.5437713097627022</v>
      </c>
      <c r="E364" s="30">
        <f t="shared" ca="1" si="70"/>
        <v>13.701488315318329</v>
      </c>
      <c r="F364" s="30">
        <f t="shared" ca="1" si="71"/>
        <v>0.28113523628189518</v>
      </c>
      <c r="G364" s="30">
        <v>362</v>
      </c>
      <c r="H364" s="30">
        <f t="shared" si="63"/>
        <v>2.6299073226181878E-2</v>
      </c>
      <c r="I364" s="30">
        <f t="shared" ca="1" si="64"/>
        <v>1.7247299818898227</v>
      </c>
      <c r="J364" s="30">
        <f t="shared" ca="1" si="65"/>
        <v>65.581397757118623</v>
      </c>
      <c r="K364" s="30">
        <f t="shared" ca="1" si="66"/>
        <v>3.2988368601118617E-29</v>
      </c>
      <c r="L364" s="30">
        <f t="shared" ca="1" si="67"/>
        <v>5.9870452434607389</v>
      </c>
      <c r="M364" s="1">
        <f t="shared" ca="1" si="68"/>
        <v>11.976758333428506</v>
      </c>
    </row>
    <row r="365" spans="1:13" x14ac:dyDescent="0.4">
      <c r="A365" s="1">
        <f t="shared" ca="1" si="72"/>
        <v>5.9870452434607389</v>
      </c>
      <c r="B365" s="30">
        <f t="shared" ca="1" si="69"/>
        <v>11.976758333428506</v>
      </c>
      <c r="C365" s="30">
        <f t="shared" ca="1" si="62"/>
        <v>0.14806444689379372</v>
      </c>
      <c r="D365" s="30">
        <f t="shared" ca="1" si="73"/>
        <v>6.1351096903545326</v>
      </c>
      <c r="E365" s="30">
        <f t="shared" ca="1" si="70"/>
        <v>12.582357684566887</v>
      </c>
      <c r="F365" s="30">
        <f t="shared" ca="1" si="71"/>
        <v>0.86111377571068159</v>
      </c>
      <c r="G365" s="30">
        <v>363</v>
      </c>
      <c r="H365" s="30">
        <f t="shared" si="63"/>
        <v>2.603608249392006E-2</v>
      </c>
      <c r="I365" s="30">
        <f t="shared" ca="1" si="64"/>
        <v>0.60559935113838037</v>
      </c>
      <c r="J365" s="30">
        <f t="shared" ca="1" si="65"/>
        <v>23.260002778060016</v>
      </c>
      <c r="K365" s="30">
        <f t="shared" ca="1" si="66"/>
        <v>7.9124165821503867E-11</v>
      </c>
      <c r="L365" s="30">
        <f t="shared" ca="1" si="67"/>
        <v>5.9870452434607389</v>
      </c>
      <c r="M365" s="1">
        <f t="shared" ca="1" si="68"/>
        <v>11.976758333428506</v>
      </c>
    </row>
    <row r="366" spans="1:13" x14ac:dyDescent="0.4">
      <c r="A366" s="1">
        <f t="shared" ca="1" si="72"/>
        <v>5.9870452434607389</v>
      </c>
      <c r="B366" s="30">
        <f t="shared" ca="1" si="69"/>
        <v>11.976758333428506</v>
      </c>
      <c r="C366" s="30">
        <f t="shared" ca="1" si="62"/>
        <v>-0.23665490200737116</v>
      </c>
      <c r="D366" s="30">
        <f t="shared" ca="1" si="73"/>
        <v>5.7503903414533681</v>
      </c>
      <c r="E366" s="30">
        <f t="shared" ca="1" si="70"/>
        <v>12.377126898337565</v>
      </c>
      <c r="F366" s="30">
        <f t="shared" ca="1" si="71"/>
        <v>0.81967622266713969</v>
      </c>
      <c r="G366" s="30">
        <v>364</v>
      </c>
      <c r="H366" s="30">
        <f t="shared" si="63"/>
        <v>2.5775721668980862E-2</v>
      </c>
      <c r="I366" s="30">
        <f t="shared" ca="1" si="64"/>
        <v>0.40036856490905848</v>
      </c>
      <c r="J366" s="30">
        <f t="shared" ca="1" si="65"/>
        <v>15.532778094468325</v>
      </c>
      <c r="K366" s="30">
        <f t="shared" ca="1" si="66"/>
        <v>1.7955610871918049E-7</v>
      </c>
      <c r="L366" s="30">
        <f t="shared" ca="1" si="67"/>
        <v>5.9870452434607389</v>
      </c>
      <c r="M366" s="1">
        <f t="shared" ca="1" si="68"/>
        <v>11.976758333428506</v>
      </c>
    </row>
    <row r="367" spans="1:13" x14ac:dyDescent="0.4">
      <c r="A367" s="1">
        <f t="shared" ca="1" si="72"/>
        <v>5.9870452434607389</v>
      </c>
      <c r="B367" s="30">
        <f t="shared" ca="1" si="69"/>
        <v>11.976758333428506</v>
      </c>
      <c r="C367" s="30">
        <f t="shared" ca="1" si="62"/>
        <v>-6.1691696041932476E-2</v>
      </c>
      <c r="D367" s="30">
        <f t="shared" ca="1" si="73"/>
        <v>5.9253535474188066</v>
      </c>
      <c r="E367" s="30">
        <f t="shared" ca="1" si="70"/>
        <v>11.936564133446382</v>
      </c>
      <c r="F367" s="30">
        <f t="shared" ca="1" si="71"/>
        <v>0.32985619966054169</v>
      </c>
      <c r="G367" s="30">
        <v>365</v>
      </c>
      <c r="H367" s="30">
        <f t="shared" si="63"/>
        <v>2.5517964452291046E-2</v>
      </c>
      <c r="I367" s="30">
        <f t="shared" ca="1" si="64"/>
        <v>-4.0194199982124701E-2</v>
      </c>
      <c r="J367" s="30">
        <f t="shared" ca="1" si="65"/>
        <v>-1.5751334734113558</v>
      </c>
      <c r="K367" s="30">
        <f t="shared" ca="1" si="66"/>
        <v>0</v>
      </c>
      <c r="L367" s="30">
        <f t="shared" ca="1" si="67"/>
        <v>5.9253535474188066</v>
      </c>
      <c r="M367" s="1">
        <f t="shared" ca="1" si="68"/>
        <v>11.936564133446382</v>
      </c>
    </row>
    <row r="368" spans="1:13" x14ac:dyDescent="0.4">
      <c r="A368" s="1">
        <f t="shared" ca="1" si="72"/>
        <v>5.9253535474188066</v>
      </c>
      <c r="B368" s="30">
        <f t="shared" ca="1" si="69"/>
        <v>11.936564133446382</v>
      </c>
      <c r="C368" s="30">
        <f t="shared" ca="1" si="62"/>
        <v>-0.82176231246043874</v>
      </c>
      <c r="D368" s="30">
        <f t="shared" ca="1" si="73"/>
        <v>5.1035912349583681</v>
      </c>
      <c r="E368" s="30">
        <f t="shared" ca="1" si="70"/>
        <v>17.947187129768054</v>
      </c>
      <c r="F368" s="30">
        <f t="shared" ca="1" si="71"/>
        <v>0.65086355236202398</v>
      </c>
      <c r="G368" s="30">
        <v>366</v>
      </c>
      <c r="H368" s="30">
        <f t="shared" si="63"/>
        <v>2.5262784807768141E-2</v>
      </c>
      <c r="I368" s="30">
        <f t="shared" ca="1" si="64"/>
        <v>6.010622996321672</v>
      </c>
      <c r="J368" s="30">
        <f t="shared" ca="1" si="65"/>
        <v>237.92400727228792</v>
      </c>
      <c r="K368" s="30">
        <f t="shared" ca="1" si="66"/>
        <v>4.6872328566577661E-104</v>
      </c>
      <c r="L368" s="30">
        <f t="shared" ca="1" si="67"/>
        <v>5.9253535474188066</v>
      </c>
      <c r="M368" s="1">
        <f t="shared" ca="1" si="68"/>
        <v>11.936564133446382</v>
      </c>
    </row>
    <row r="369" spans="1:13" x14ac:dyDescent="0.4">
      <c r="A369" s="1">
        <f t="shared" ca="1" si="72"/>
        <v>5.9253535474188066</v>
      </c>
      <c r="B369" s="30">
        <f t="shared" ca="1" si="69"/>
        <v>11.936564133446382</v>
      </c>
      <c r="C369" s="30">
        <f t="shared" ca="1" si="62"/>
        <v>0.25939389731330831</v>
      </c>
      <c r="D369" s="30">
        <f t="shared" ca="1" si="73"/>
        <v>6.1847474447321149</v>
      </c>
      <c r="E369" s="30">
        <f t="shared" ca="1" si="70"/>
        <v>12.967211584370716</v>
      </c>
      <c r="F369" s="30">
        <f t="shared" ca="1" si="71"/>
        <v>0.76897757727084171</v>
      </c>
      <c r="G369" s="30">
        <v>367</v>
      </c>
      <c r="H369" s="30">
        <f t="shared" si="63"/>
        <v>2.5010156959690458E-2</v>
      </c>
      <c r="I369" s="30">
        <f t="shared" ca="1" si="64"/>
        <v>1.0306474509243344</v>
      </c>
      <c r="J369" s="30">
        <f t="shared" ca="1" si="65"/>
        <v>41.209155647661731</v>
      </c>
      <c r="K369" s="30">
        <f t="shared" ca="1" si="66"/>
        <v>1.2679177984985416E-18</v>
      </c>
      <c r="L369" s="30">
        <f t="shared" ca="1" si="67"/>
        <v>5.9253535474188066</v>
      </c>
      <c r="M369" s="1">
        <f t="shared" ca="1" si="68"/>
        <v>11.936564133446382</v>
      </c>
    </row>
    <row r="370" spans="1:13" x14ac:dyDescent="0.4">
      <c r="A370" s="1">
        <f t="shared" ca="1" si="72"/>
        <v>5.9253535474188066</v>
      </c>
      <c r="B370" s="30">
        <f t="shared" ca="1" si="69"/>
        <v>11.936564133446382</v>
      </c>
      <c r="C370" s="30">
        <f t="shared" ca="1" si="62"/>
        <v>-0.83718999117533666</v>
      </c>
      <c r="D370" s="30">
        <f t="shared" ca="1" si="73"/>
        <v>5.0881635562434697</v>
      </c>
      <c r="E370" s="30">
        <f t="shared" ca="1" si="70"/>
        <v>18.105620344104068</v>
      </c>
      <c r="F370" s="30">
        <f t="shared" ca="1" si="71"/>
        <v>0.1072375907972809</v>
      </c>
      <c r="G370" s="30">
        <v>368</v>
      </c>
      <c r="H370" s="30">
        <f t="shared" si="63"/>
        <v>2.4760055390093554E-2</v>
      </c>
      <c r="I370" s="30">
        <f t="shared" ca="1" si="64"/>
        <v>6.1690562106576863</v>
      </c>
      <c r="J370" s="30">
        <f t="shared" ca="1" si="65"/>
        <v>249.15357067924464</v>
      </c>
      <c r="K370" s="30">
        <f t="shared" ca="1" si="66"/>
        <v>6.2227034905685301E-109</v>
      </c>
      <c r="L370" s="30">
        <f t="shared" ca="1" si="67"/>
        <v>5.9253535474188066</v>
      </c>
      <c r="M370" s="1">
        <f t="shared" ca="1" si="68"/>
        <v>11.936564133446382</v>
      </c>
    </row>
    <row r="371" spans="1:13" x14ac:dyDescent="0.4">
      <c r="A371" s="1">
        <f t="shared" ca="1" si="72"/>
        <v>5.9253535474188066</v>
      </c>
      <c r="B371" s="30">
        <f t="shared" ca="1" si="69"/>
        <v>11.936564133446382</v>
      </c>
      <c r="C371" s="30">
        <f t="shared" ca="1" si="62"/>
        <v>0.3548506236833826</v>
      </c>
      <c r="D371" s="30">
        <f t="shared" ca="1" si="73"/>
        <v>6.2802041711021896</v>
      </c>
      <c r="E371" s="30">
        <f t="shared" ca="1" si="70"/>
        <v>13.998803338270818</v>
      </c>
      <c r="F371" s="30">
        <f t="shared" ca="1" si="71"/>
        <v>0.27265225279854433</v>
      </c>
      <c r="G371" s="30">
        <v>369</v>
      </c>
      <c r="H371" s="30">
        <f t="shared" si="63"/>
        <v>2.4512454836192618E-2</v>
      </c>
      <c r="I371" s="30">
        <f t="shared" ca="1" si="64"/>
        <v>2.0622392048244365</v>
      </c>
      <c r="J371" s="30">
        <f t="shared" ca="1" si="65"/>
        <v>84.13026025363817</v>
      </c>
      <c r="K371" s="30">
        <f t="shared" ca="1" si="66"/>
        <v>2.9019652710437865E-37</v>
      </c>
      <c r="L371" s="30">
        <f t="shared" ca="1" si="67"/>
        <v>5.9253535474188066</v>
      </c>
      <c r="M371" s="1">
        <f t="shared" ca="1" si="68"/>
        <v>11.936564133446382</v>
      </c>
    </row>
    <row r="372" spans="1:13" x14ac:dyDescent="0.4">
      <c r="A372" s="1">
        <f t="shared" ca="1" si="72"/>
        <v>5.9253535474188066</v>
      </c>
      <c r="B372" s="30">
        <f t="shared" ca="1" si="69"/>
        <v>11.936564133446382</v>
      </c>
      <c r="C372" s="30">
        <f t="shared" ca="1" si="62"/>
        <v>4.9131243221399945E-2</v>
      </c>
      <c r="D372" s="30">
        <f t="shared" ca="1" si="73"/>
        <v>5.9744847906402061</v>
      </c>
      <c r="E372" s="30">
        <f t="shared" ca="1" si="70"/>
        <v>11.959253531155127</v>
      </c>
      <c r="F372" s="30">
        <f t="shared" ca="1" si="71"/>
        <v>0.97505103369047708</v>
      </c>
      <c r="G372" s="30">
        <v>370</v>
      </c>
      <c r="H372" s="30">
        <f t="shared" si="63"/>
        <v>2.426733028783069E-2</v>
      </c>
      <c r="I372" s="30">
        <f t="shared" ca="1" si="64"/>
        <v>2.2689397708745673E-2</v>
      </c>
      <c r="J372" s="30">
        <f t="shared" ca="1" si="65"/>
        <v>0.93497708399031021</v>
      </c>
      <c r="K372" s="30">
        <f t="shared" ca="1" si="66"/>
        <v>0.39259486213609973</v>
      </c>
      <c r="L372" s="30">
        <f t="shared" ca="1" si="67"/>
        <v>5.9253535474188066</v>
      </c>
      <c r="M372" s="1">
        <f t="shared" ca="1" si="68"/>
        <v>11.936564133446382</v>
      </c>
    </row>
    <row r="373" spans="1:13" x14ac:dyDescent="0.4">
      <c r="A373" s="1">
        <f t="shared" ca="1" si="72"/>
        <v>5.9253535474188066</v>
      </c>
      <c r="B373" s="30">
        <f t="shared" ca="1" si="69"/>
        <v>11.936564133446382</v>
      </c>
      <c r="C373" s="30">
        <f t="shared" ca="1" si="62"/>
        <v>-0.21803123751144482</v>
      </c>
      <c r="D373" s="30">
        <f t="shared" ca="1" si="73"/>
        <v>5.7073223099073616</v>
      </c>
      <c r="E373" s="30">
        <f t="shared" ca="1" si="70"/>
        <v>12.591979272668596</v>
      </c>
      <c r="F373" s="30">
        <f t="shared" ca="1" si="71"/>
        <v>0.35807801969505326</v>
      </c>
      <c r="G373" s="30">
        <v>371</v>
      </c>
      <c r="H373" s="30">
        <f t="shared" si="63"/>
        <v>2.4024656984952382E-2</v>
      </c>
      <c r="I373" s="30">
        <f t="shared" ca="1" si="64"/>
        <v>0.65541513922221384</v>
      </c>
      <c r="J373" s="30">
        <f t="shared" ca="1" si="65"/>
        <v>27.280936399330361</v>
      </c>
      <c r="K373" s="30">
        <f t="shared" ca="1" si="66"/>
        <v>1.4191877722609696E-12</v>
      </c>
      <c r="L373" s="30">
        <f t="shared" ca="1" si="67"/>
        <v>5.9253535474188066</v>
      </c>
      <c r="M373" s="1">
        <f t="shared" ca="1" si="68"/>
        <v>11.936564133446382</v>
      </c>
    </row>
    <row r="374" spans="1:13" x14ac:dyDescent="0.4">
      <c r="A374" s="1">
        <f t="shared" ca="1" si="72"/>
        <v>5.9253535474188066</v>
      </c>
      <c r="B374" s="30">
        <f t="shared" ca="1" si="69"/>
        <v>11.936564133446382</v>
      </c>
      <c r="C374" s="30">
        <f t="shared" ca="1" si="62"/>
        <v>-0.30766510273350889</v>
      </c>
      <c r="D374" s="30">
        <f t="shared" ca="1" si="73"/>
        <v>5.6176884446852977</v>
      </c>
      <c r="E374" s="30">
        <f t="shared" ca="1" si="70"/>
        <v>13.148298505789626</v>
      </c>
      <c r="F374" s="30">
        <f t="shared" ca="1" si="71"/>
        <v>0.79270518870426321</v>
      </c>
      <c r="G374" s="30">
        <v>372</v>
      </c>
      <c r="H374" s="30">
        <f t="shared" si="63"/>
        <v>2.3784410415102861E-2</v>
      </c>
      <c r="I374" s="30">
        <f t="shared" ca="1" si="64"/>
        <v>1.2117343723432441</v>
      </c>
      <c r="J374" s="30">
        <f t="shared" ca="1" si="65"/>
        <v>50.946580184043789</v>
      </c>
      <c r="K374" s="30">
        <f t="shared" ca="1" si="66"/>
        <v>7.4848198902203139E-23</v>
      </c>
      <c r="L374" s="30">
        <f t="shared" ca="1" si="67"/>
        <v>5.9253535474188066</v>
      </c>
      <c r="M374" s="1">
        <f t="shared" ca="1" si="68"/>
        <v>11.936564133446382</v>
      </c>
    </row>
    <row r="375" spans="1:13" x14ac:dyDescent="0.4">
      <c r="A375" s="1">
        <f t="shared" ca="1" si="72"/>
        <v>5.9253535474188066</v>
      </c>
      <c r="B375" s="30">
        <f t="shared" ca="1" si="69"/>
        <v>11.936564133446382</v>
      </c>
      <c r="C375" s="30">
        <f t="shared" ca="1" si="62"/>
        <v>-0.1479876115177432</v>
      </c>
      <c r="D375" s="30">
        <f t="shared" ca="1" si="73"/>
        <v>5.777365935901063</v>
      </c>
      <c r="E375" s="30">
        <f t="shared" ca="1" si="70"/>
        <v>12.261962967571662</v>
      </c>
      <c r="F375" s="30">
        <f t="shared" ca="1" si="71"/>
        <v>1.954019736086865E-2</v>
      </c>
      <c r="G375" s="30">
        <v>373</v>
      </c>
      <c r="H375" s="30">
        <f t="shared" si="63"/>
        <v>2.3546566310951832E-2</v>
      </c>
      <c r="I375" s="30">
        <f t="shared" ca="1" si="64"/>
        <v>0.3253988341252807</v>
      </c>
      <c r="J375" s="30">
        <f t="shared" ca="1" si="65"/>
        <v>13.819375183120998</v>
      </c>
      <c r="K375" s="30">
        <f t="shared" ca="1" si="66"/>
        <v>9.9614283289645671E-7</v>
      </c>
      <c r="L375" s="30">
        <f t="shared" ca="1" si="67"/>
        <v>5.9253535474188066</v>
      </c>
      <c r="M375" s="1">
        <f t="shared" ca="1" si="68"/>
        <v>11.936564133446382</v>
      </c>
    </row>
    <row r="376" spans="1:13" x14ac:dyDescent="0.4">
      <c r="A376" s="1">
        <f t="shared" ca="1" si="72"/>
        <v>5.9253535474188066</v>
      </c>
      <c r="B376" s="30">
        <f t="shared" ca="1" si="69"/>
        <v>11.936564133446382</v>
      </c>
      <c r="C376" s="30">
        <f t="shared" ca="1" si="62"/>
        <v>0.1592435814932025</v>
      </c>
      <c r="D376" s="30">
        <f t="shared" ca="1" si="73"/>
        <v>6.0845971289120087</v>
      </c>
      <c r="E376" s="30">
        <f t="shared" ca="1" si="70"/>
        <v>12.288595736065417</v>
      </c>
      <c r="F376" s="30">
        <f t="shared" ca="1" si="71"/>
        <v>0.67357771872217265</v>
      </c>
      <c r="G376" s="30">
        <v>374</v>
      </c>
      <c r="H376" s="30">
        <f t="shared" si="63"/>
        <v>2.3311100647842312E-2</v>
      </c>
      <c r="I376" s="30">
        <f t="shared" ca="1" si="64"/>
        <v>0.35203160261903577</v>
      </c>
      <c r="J376" s="30">
        <f t="shared" ca="1" si="65"/>
        <v>15.101457796314735</v>
      </c>
      <c r="K376" s="30">
        <f t="shared" ca="1" si="66"/>
        <v>2.7638865366412009E-7</v>
      </c>
      <c r="L376" s="30">
        <f t="shared" ca="1" si="67"/>
        <v>5.9253535474188066</v>
      </c>
      <c r="M376" s="1">
        <f t="shared" ca="1" si="68"/>
        <v>11.936564133446382</v>
      </c>
    </row>
    <row r="377" spans="1:13" x14ac:dyDescent="0.4">
      <c r="A377" s="1">
        <f t="shared" ca="1" si="72"/>
        <v>5.9253535474188066</v>
      </c>
      <c r="B377" s="30">
        <f t="shared" ca="1" si="69"/>
        <v>11.936564133446382</v>
      </c>
      <c r="C377" s="30">
        <f t="shared" ca="1" si="62"/>
        <v>-0.33706502304143826</v>
      </c>
      <c r="D377" s="30">
        <f t="shared" ca="1" si="73"/>
        <v>5.5882885243773686</v>
      </c>
      <c r="E377" s="30">
        <f t="shared" ca="1" si="70"/>
        <v>13.359109234138259</v>
      </c>
      <c r="F377" s="30">
        <f t="shared" ca="1" si="71"/>
        <v>0.56053294875464532</v>
      </c>
      <c r="G377" s="30">
        <v>375</v>
      </c>
      <c r="H377" s="30">
        <f t="shared" si="63"/>
        <v>2.3077989641363889E-2</v>
      </c>
      <c r="I377" s="30">
        <f t="shared" ca="1" si="64"/>
        <v>1.4225451006918775</v>
      </c>
      <c r="J377" s="30">
        <f t="shared" ca="1" si="65"/>
        <v>61.640772129569527</v>
      </c>
      <c r="K377" s="30">
        <f t="shared" ca="1" si="66"/>
        <v>1.6972773039993259E-27</v>
      </c>
      <c r="L377" s="30">
        <f t="shared" ca="1" si="67"/>
        <v>5.9253535474188066</v>
      </c>
      <c r="M377" s="1">
        <f t="shared" ca="1" si="68"/>
        <v>11.936564133446382</v>
      </c>
    </row>
    <row r="378" spans="1:13" x14ac:dyDescent="0.4">
      <c r="A378" s="1">
        <f t="shared" ca="1" si="72"/>
        <v>5.9253535474188066</v>
      </c>
      <c r="B378" s="30">
        <f t="shared" ca="1" si="69"/>
        <v>11.936564133446382</v>
      </c>
      <c r="C378" s="30">
        <f t="shared" ca="1" si="62"/>
        <v>0.20856537561159594</v>
      </c>
      <c r="D378" s="30">
        <f t="shared" ca="1" si="73"/>
        <v>6.1339189230304028</v>
      </c>
      <c r="E378" s="30">
        <f t="shared" ca="1" si="70"/>
        <v>12.57432184501863</v>
      </c>
      <c r="F378" s="30">
        <f t="shared" ca="1" si="71"/>
        <v>0.90849812490212611</v>
      </c>
      <c r="G378" s="30">
        <v>376</v>
      </c>
      <c r="H378" s="30">
        <f t="shared" si="63"/>
        <v>2.2847209744950251E-2</v>
      </c>
      <c r="I378" s="30">
        <f t="shared" ca="1" si="64"/>
        <v>0.63775771157224881</v>
      </c>
      <c r="J378" s="30">
        <f t="shared" ca="1" si="65"/>
        <v>27.914030583678063</v>
      </c>
      <c r="K378" s="30">
        <f t="shared" ca="1" si="66"/>
        <v>7.535126537568836E-13</v>
      </c>
      <c r="L378" s="30">
        <f t="shared" ca="1" si="67"/>
        <v>5.9253535474188066</v>
      </c>
      <c r="M378" s="1">
        <f t="shared" ca="1" si="68"/>
        <v>11.936564133446382</v>
      </c>
    </row>
    <row r="379" spans="1:13" x14ac:dyDescent="0.4">
      <c r="A379" s="1">
        <f t="shared" ca="1" si="72"/>
        <v>5.9253535474188066</v>
      </c>
      <c r="B379" s="30">
        <f t="shared" ca="1" si="69"/>
        <v>11.936564133446382</v>
      </c>
      <c r="C379" s="30">
        <f t="shared" ca="1" si="62"/>
        <v>-0.55433363649705725</v>
      </c>
      <c r="D379" s="30">
        <f t="shared" ca="1" si="73"/>
        <v>5.3710199109217491</v>
      </c>
      <c r="E379" s="30">
        <f t="shared" ca="1" si="70"/>
        <v>15.237730586854923</v>
      </c>
      <c r="F379" s="30">
        <f t="shared" ca="1" si="71"/>
        <v>0.96891147693715995</v>
      </c>
      <c r="G379" s="30">
        <v>377</v>
      </c>
      <c r="H379" s="30">
        <f t="shared" si="63"/>
        <v>2.2618737647500744E-2</v>
      </c>
      <c r="I379" s="30">
        <f t="shared" ca="1" si="64"/>
        <v>3.3011664534085412</v>
      </c>
      <c r="J379" s="30">
        <f t="shared" ca="1" si="65"/>
        <v>145.94830643757447</v>
      </c>
      <c r="K379" s="30">
        <f t="shared" ca="1" si="66"/>
        <v>4.1253031749541237E-64</v>
      </c>
      <c r="L379" s="30">
        <f t="shared" ca="1" si="67"/>
        <v>5.9253535474188066</v>
      </c>
      <c r="M379" s="1">
        <f t="shared" ca="1" si="68"/>
        <v>11.936564133446382</v>
      </c>
    </row>
    <row r="380" spans="1:13" x14ac:dyDescent="0.4">
      <c r="A380" s="1">
        <f t="shared" ca="1" si="72"/>
        <v>5.9253535474188066</v>
      </c>
      <c r="B380" s="30">
        <f t="shared" ca="1" si="69"/>
        <v>11.936564133446382</v>
      </c>
      <c r="C380" s="30">
        <f t="shared" ca="1" si="62"/>
        <v>0.33558904670212675</v>
      </c>
      <c r="D380" s="30">
        <f t="shared" ca="1" si="73"/>
        <v>6.2609425941209338</v>
      </c>
      <c r="E380" s="30">
        <f t="shared" ca="1" si="70"/>
        <v>13.758120991984015</v>
      </c>
      <c r="F380" s="30">
        <f t="shared" ca="1" si="71"/>
        <v>0.6434241935749504</v>
      </c>
      <c r="G380" s="30">
        <v>378</v>
      </c>
      <c r="H380" s="30">
        <f t="shared" si="63"/>
        <v>2.2392550271025737E-2</v>
      </c>
      <c r="I380" s="30">
        <f t="shared" ca="1" si="64"/>
        <v>1.8215568585376332</v>
      </c>
      <c r="J380" s="30">
        <f t="shared" ca="1" si="65"/>
        <v>81.346556622207956</v>
      </c>
      <c r="K380" s="30">
        <f t="shared" ca="1" si="66"/>
        <v>4.6950404378216299E-36</v>
      </c>
      <c r="L380" s="30">
        <f t="shared" ca="1" si="67"/>
        <v>5.9253535474188066</v>
      </c>
      <c r="M380" s="1">
        <f t="shared" ca="1" si="68"/>
        <v>11.936564133446382</v>
      </c>
    </row>
    <row r="381" spans="1:13" x14ac:dyDescent="0.4">
      <c r="A381" s="1">
        <f t="shared" ca="1" si="72"/>
        <v>5.9253535474188066</v>
      </c>
      <c r="B381" s="30">
        <f t="shared" ca="1" si="69"/>
        <v>11.936564133446382</v>
      </c>
      <c r="C381" s="30">
        <f t="shared" ca="1" si="62"/>
        <v>-0.32114262799372373</v>
      </c>
      <c r="D381" s="30">
        <f t="shared" ca="1" si="73"/>
        <v>5.6042109194250829</v>
      </c>
      <c r="E381" s="30">
        <f t="shared" ca="1" si="70"/>
        <v>13.243344989974275</v>
      </c>
      <c r="F381" s="30">
        <f t="shared" ca="1" si="71"/>
        <v>0.79142400098601784</v>
      </c>
      <c r="G381" s="30">
        <v>379</v>
      </c>
      <c r="H381" s="30">
        <f t="shared" si="63"/>
        <v>2.2168624768315486E-2</v>
      </c>
      <c r="I381" s="30">
        <f t="shared" ca="1" si="64"/>
        <v>1.3067808565278938</v>
      </c>
      <c r="J381" s="30">
        <f t="shared" ca="1" si="65"/>
        <v>58.947312708166308</v>
      </c>
      <c r="K381" s="30">
        <f t="shared" ca="1" si="66"/>
        <v>2.5090387450162929E-26</v>
      </c>
      <c r="L381" s="30">
        <f t="shared" ca="1" si="67"/>
        <v>5.9253535474188066</v>
      </c>
      <c r="M381" s="1">
        <f t="shared" ca="1" si="68"/>
        <v>11.936564133446382</v>
      </c>
    </row>
    <row r="382" spans="1:13" x14ac:dyDescent="0.4">
      <c r="A382" s="1">
        <f t="shared" ca="1" si="72"/>
        <v>5.9253535474188066</v>
      </c>
      <c r="B382" s="30">
        <f t="shared" ca="1" si="69"/>
        <v>11.936564133446382</v>
      </c>
      <c r="C382" s="30">
        <f t="shared" ca="1" si="62"/>
        <v>-0.78534524278744233</v>
      </c>
      <c r="D382" s="30">
        <f t="shared" ca="1" si="73"/>
        <v>5.1400083046313645</v>
      </c>
      <c r="E382" s="30">
        <f t="shared" ca="1" si="70"/>
        <v>17.572074507479556</v>
      </c>
      <c r="F382" s="30">
        <f t="shared" ca="1" si="71"/>
        <v>0.67403238040630342</v>
      </c>
      <c r="G382" s="30">
        <v>380</v>
      </c>
      <c r="H382" s="30">
        <f t="shared" si="63"/>
        <v>2.1946938520632325E-2</v>
      </c>
      <c r="I382" s="30">
        <f t="shared" ca="1" si="64"/>
        <v>5.6355103740331742</v>
      </c>
      <c r="J382" s="30">
        <f t="shared" ca="1" si="65"/>
        <v>256.77888370331146</v>
      </c>
      <c r="K382" s="30">
        <f t="shared" ca="1" si="66"/>
        <v>3.0363213851637926E-112</v>
      </c>
      <c r="L382" s="30">
        <f t="shared" ca="1" si="67"/>
        <v>5.9253535474188066</v>
      </c>
      <c r="M382" s="1">
        <f t="shared" ca="1" si="68"/>
        <v>11.936564133446382</v>
      </c>
    </row>
    <row r="383" spans="1:13" x14ac:dyDescent="0.4">
      <c r="A383" s="1">
        <f t="shared" ca="1" si="72"/>
        <v>5.9253535474188066</v>
      </c>
      <c r="B383" s="30">
        <f t="shared" ca="1" si="69"/>
        <v>11.936564133446382</v>
      </c>
      <c r="C383" s="30">
        <f t="shared" ca="1" si="62"/>
        <v>-0.4523163693692791</v>
      </c>
      <c r="D383" s="30">
        <f t="shared" ca="1" si="73"/>
        <v>5.4730371780495277</v>
      </c>
      <c r="E383" s="30">
        <f t="shared" ca="1" si="70"/>
        <v>14.295565369999395</v>
      </c>
      <c r="F383" s="30">
        <f t="shared" ca="1" si="71"/>
        <v>0.41088517800471425</v>
      </c>
      <c r="G383" s="30">
        <v>381</v>
      </c>
      <c r="H383" s="30">
        <f t="shared" si="63"/>
        <v>2.1727469135425996E-2</v>
      </c>
      <c r="I383" s="30">
        <f t="shared" ca="1" si="64"/>
        <v>2.3590012365530129</v>
      </c>
      <c r="J383" s="30">
        <f t="shared" ca="1" si="65"/>
        <v>108.57229720817925</v>
      </c>
      <c r="K383" s="30">
        <f t="shared" ca="1" si="66"/>
        <v>7.041260873868197E-48</v>
      </c>
      <c r="L383" s="30">
        <f t="shared" ca="1" si="67"/>
        <v>5.9253535474188066</v>
      </c>
      <c r="M383" s="1">
        <f t="shared" ca="1" si="68"/>
        <v>11.936564133446382</v>
      </c>
    </row>
    <row r="384" spans="1:13" x14ac:dyDescent="0.4">
      <c r="A384" s="1">
        <f t="shared" ca="1" si="72"/>
        <v>5.9253535474188066</v>
      </c>
      <c r="B384" s="30">
        <f t="shared" ca="1" si="69"/>
        <v>11.936564133446382</v>
      </c>
      <c r="C384" s="30">
        <f t="shared" ca="1" si="62"/>
        <v>-0.22480672663047052</v>
      </c>
      <c r="D384" s="30">
        <f t="shared" ca="1" si="73"/>
        <v>5.7005468207883361</v>
      </c>
      <c r="E384" s="30">
        <f t="shared" ca="1" si="70"/>
        <v>12.62906903215935</v>
      </c>
      <c r="F384" s="30">
        <f t="shared" ca="1" si="71"/>
        <v>0.98061527209911437</v>
      </c>
      <c r="G384" s="30">
        <v>382</v>
      </c>
      <c r="H384" s="30">
        <f t="shared" si="63"/>
        <v>2.1510194444071744E-2</v>
      </c>
      <c r="I384" s="30">
        <f t="shared" ca="1" si="64"/>
        <v>0.6925048987129685</v>
      </c>
      <c r="J384" s="30">
        <f t="shared" ca="1" si="65"/>
        <v>32.194264933938072</v>
      </c>
      <c r="K384" s="30">
        <f t="shared" ca="1" si="66"/>
        <v>1.0428176911491997E-14</v>
      </c>
      <c r="L384" s="30">
        <f t="shared" ca="1" si="67"/>
        <v>5.9253535474188066</v>
      </c>
      <c r="M384" s="1">
        <f t="shared" ca="1" si="68"/>
        <v>11.936564133446382</v>
      </c>
    </row>
    <row r="385" spans="1:13" x14ac:dyDescent="0.4">
      <c r="A385" s="1">
        <f t="shared" ca="1" si="72"/>
        <v>5.9253535474188066</v>
      </c>
      <c r="B385" s="30">
        <f t="shared" ca="1" si="69"/>
        <v>11.936564133446382</v>
      </c>
      <c r="C385" s="30">
        <f t="shared" ca="1" si="62"/>
        <v>-0.90718691170511789</v>
      </c>
      <c r="D385" s="30">
        <f t="shared" ca="1" si="73"/>
        <v>5.0181666357136887</v>
      </c>
      <c r="E385" s="30">
        <f t="shared" ca="1" si="70"/>
        <v>18.817697680369861</v>
      </c>
      <c r="F385" s="30">
        <f t="shared" ca="1" si="71"/>
        <v>0.40616761989690153</v>
      </c>
      <c r="G385" s="30">
        <v>383</v>
      </c>
      <c r="H385" s="30">
        <f t="shared" si="63"/>
        <v>2.1295092499631026E-2</v>
      </c>
      <c r="I385" s="30">
        <f t="shared" ca="1" si="64"/>
        <v>6.8811335469234791</v>
      </c>
      <c r="J385" s="30">
        <f t="shared" ca="1" si="65"/>
        <v>323.13236239958604</v>
      </c>
      <c r="K385" s="30">
        <f t="shared" ca="1" si="66"/>
        <v>4.6280504604835481E-141</v>
      </c>
      <c r="L385" s="30">
        <f t="shared" ca="1" si="67"/>
        <v>5.9253535474188066</v>
      </c>
      <c r="M385" s="1">
        <f t="shared" ca="1" si="68"/>
        <v>11.936564133446382</v>
      </c>
    </row>
    <row r="386" spans="1:13" x14ac:dyDescent="0.4">
      <c r="A386" s="1">
        <f t="shared" ca="1" si="72"/>
        <v>5.9253535474188066</v>
      </c>
      <c r="B386" s="30">
        <f t="shared" ca="1" si="69"/>
        <v>11.936564133446382</v>
      </c>
      <c r="C386" s="30">
        <f t="shared" ca="1" si="62"/>
        <v>-3.1159466610968689E-2</v>
      </c>
      <c r="D386" s="30">
        <f t="shared" ca="1" si="73"/>
        <v>5.8941940808078375</v>
      </c>
      <c r="E386" s="30">
        <f t="shared" ca="1" si="70"/>
        <v>11.958155880651702</v>
      </c>
      <c r="F386" s="30">
        <f t="shared" ca="1" si="71"/>
        <v>0.51316180701002279</v>
      </c>
      <c r="G386" s="30">
        <v>384</v>
      </c>
      <c r="H386" s="30">
        <f t="shared" si="63"/>
        <v>2.1082141574634713E-2</v>
      </c>
      <c r="I386" s="30">
        <f t="shared" ca="1" si="64"/>
        <v>2.1591747205320644E-2</v>
      </c>
      <c r="J386" s="30">
        <f t="shared" ca="1" si="65"/>
        <v>1.0241723844269726</v>
      </c>
      <c r="K386" s="30">
        <f t="shared" ca="1" si="66"/>
        <v>0.35909353386055204</v>
      </c>
      <c r="L386" s="30">
        <f t="shared" ca="1" si="67"/>
        <v>5.9253535474188066</v>
      </c>
      <c r="M386" s="1">
        <f t="shared" ca="1" si="68"/>
        <v>11.936564133446382</v>
      </c>
    </row>
    <row r="387" spans="1:13" x14ac:dyDescent="0.4">
      <c r="A387" s="1">
        <f t="shared" ca="1" si="72"/>
        <v>5.9253535474188066</v>
      </c>
      <c r="B387" s="30">
        <f t="shared" ca="1" si="69"/>
        <v>11.936564133446382</v>
      </c>
      <c r="C387" s="30">
        <f t="shared" ref="C387:C389" ca="1" si="74">2*(RAND()-0.5)</f>
        <v>0.50349391083182637</v>
      </c>
      <c r="D387" s="30">
        <f t="shared" ca="1" si="73"/>
        <v>6.4288474582506332</v>
      </c>
      <c r="E387" s="30">
        <f t="shared" ca="1" si="70"/>
        <v>16.465035313248109</v>
      </c>
      <c r="F387" s="30">
        <f t="shared" ca="1" si="71"/>
        <v>0.65299221116445294</v>
      </c>
      <c r="G387" s="30">
        <v>385</v>
      </c>
      <c r="H387" s="30">
        <f t="shared" ref="H387:H389" si="75">0.99^G387</f>
        <v>2.0871320158888367E-2</v>
      </c>
      <c r="I387" s="30">
        <f t="shared" ref="I387:I389" ca="1" si="76">E387-B387</f>
        <v>4.528471179801727</v>
      </c>
      <c r="J387" s="30">
        <f t="shared" ref="J387:J389" ca="1" si="77">I387/H387</f>
        <v>216.97099873546856</v>
      </c>
      <c r="K387" s="30">
        <f t="shared" ref="K387:K389" ca="1" si="78">IF(I387&lt;0,0,EXP(-J387))</f>
        <v>5.8978336113488277E-95</v>
      </c>
      <c r="L387" s="30">
        <f t="shared" ref="L387:L389" ca="1" si="79">IF(E387&lt;B387,D387,IF(F387&lt;K387,D387,A387))</f>
        <v>5.9253535474188066</v>
      </c>
      <c r="M387" s="1">
        <f t="shared" ref="M387:M389" ca="1" si="80">L387^4-16*L387^3+88*L387^2-190*L387+144</f>
        <v>11.936564133446382</v>
      </c>
    </row>
    <row r="388" spans="1:13" x14ac:dyDescent="0.4">
      <c r="A388" s="1">
        <f t="shared" ca="1" si="72"/>
        <v>5.9253535474188066</v>
      </c>
      <c r="B388" s="30">
        <f t="shared" ref="B388:B389" ca="1" si="81">A388^4-16*A388^3+88*A388^2-190*A388+144</f>
        <v>11.936564133446382</v>
      </c>
      <c r="C388" s="30">
        <f t="shared" ca="1" si="74"/>
        <v>-0.30213030820897835</v>
      </c>
      <c r="D388" s="30">
        <f t="shared" ca="1" si="73"/>
        <v>5.6232232392098283</v>
      </c>
      <c r="E388" s="30">
        <f t="shared" ref="E388:E389" ca="1" si="82">D388^4-16*D388^3+88*D388^2-190*D388+144</f>
        <v>13.110070941658932</v>
      </c>
      <c r="F388" s="30">
        <f t="shared" ref="F388:F389" ca="1" si="83">RAND()</f>
        <v>0.15941248120318796</v>
      </c>
      <c r="G388" s="30">
        <v>386</v>
      </c>
      <c r="H388" s="30">
        <f t="shared" si="75"/>
        <v>2.0662606957299483E-2</v>
      </c>
      <c r="I388" s="30">
        <f t="shared" ca="1" si="76"/>
        <v>1.1735068082125508</v>
      </c>
      <c r="J388" s="30">
        <f t="shared" ca="1" si="77"/>
        <v>56.793743918067698</v>
      </c>
      <c r="K388" s="30">
        <f t="shared" ca="1" si="78"/>
        <v>2.1616750489413217E-25</v>
      </c>
      <c r="L388" s="30">
        <f t="shared" ca="1" si="79"/>
        <v>5.9253535474188066</v>
      </c>
      <c r="M388" s="1">
        <f t="shared" ca="1" si="80"/>
        <v>11.936564133446382</v>
      </c>
    </row>
    <row r="389" spans="1:13" x14ac:dyDescent="0.4">
      <c r="A389" s="1">
        <f t="shared" ca="1" si="72"/>
        <v>5.9253535474188066</v>
      </c>
      <c r="B389" s="30">
        <f t="shared" ca="1" si="81"/>
        <v>11.936564133446382</v>
      </c>
      <c r="C389" s="30">
        <f t="shared" ca="1" si="74"/>
        <v>0.18918882378645585</v>
      </c>
      <c r="D389" s="30">
        <f t="shared" ca="1" si="73"/>
        <v>6.1145423712052622</v>
      </c>
      <c r="E389" s="30">
        <f t="shared" ca="1" si="82"/>
        <v>12.451198478310289</v>
      </c>
      <c r="F389" s="30">
        <f t="shared" ca="1" si="83"/>
        <v>0.33946626842932148</v>
      </c>
      <c r="G389" s="30">
        <v>387</v>
      </c>
      <c r="H389" s="30">
        <f t="shared" si="75"/>
        <v>2.0455980887726485E-2</v>
      </c>
      <c r="I389" s="30">
        <f t="shared" ca="1" si="76"/>
        <v>0.51463434486390724</v>
      </c>
      <c r="J389" s="30">
        <f t="shared" ca="1" si="77"/>
        <v>25.158135788672251</v>
      </c>
      <c r="K389" s="30">
        <f t="shared" ca="1" si="78"/>
        <v>1.1856607738753444E-11</v>
      </c>
      <c r="L389" s="30">
        <f t="shared" ca="1" si="79"/>
        <v>5.9253535474188066</v>
      </c>
      <c r="M389" s="1">
        <f t="shared" ca="1" si="80"/>
        <v>11.936564133446382</v>
      </c>
    </row>
  </sheetData>
  <phoneticPr fontId="1"/>
  <conditionalFormatting sqref="I1:I1048576">
    <cfRule type="cellIs" dxfId="7" priority="1" operator="lessThan">
      <formula>0</formula>
    </cfRule>
    <cfRule type="cellIs" dxfId="6" priority="2" operator="lessThan">
      <formula>-146.9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358C-C8E8-4C44-B8B9-D987C6723531}">
  <dimension ref="A1:C21"/>
  <sheetViews>
    <sheetView workbookViewId="0">
      <selection activeCell="K12" sqref="K12"/>
    </sheetView>
  </sheetViews>
  <sheetFormatPr defaultRowHeight="18.75" x14ac:dyDescent="0.4"/>
  <cols>
    <col min="1" max="1" width="8.625" style="37" customWidth="1"/>
    <col min="2" max="2" width="5.125" style="37" bestFit="1" customWidth="1"/>
    <col min="3" max="3" width="9.125" style="37" bestFit="1" customWidth="1"/>
  </cols>
  <sheetData>
    <row r="1" spans="1:3" x14ac:dyDescent="0.4">
      <c r="A1" s="37" t="s">
        <v>0</v>
      </c>
      <c r="B1" s="37" t="s">
        <v>30</v>
      </c>
      <c r="C1" s="37" t="s">
        <v>31</v>
      </c>
    </row>
    <row r="2" spans="1:3" x14ac:dyDescent="0.4">
      <c r="A2" s="37">
        <v>1</v>
      </c>
      <c r="B2" s="37">
        <f>0.8^A2*1</f>
        <v>0.8</v>
      </c>
      <c r="C2" s="37">
        <f>EXP(-0.1/B2)</f>
        <v>0.88249690258459546</v>
      </c>
    </row>
    <row r="3" spans="1:3" x14ac:dyDescent="0.4">
      <c r="A3" s="37">
        <v>2</v>
      </c>
      <c r="B3" s="37">
        <f t="shared" ref="B3:B21" si="0">0.8^A3*1</f>
        <v>0.64000000000000012</v>
      </c>
      <c r="C3" s="37">
        <f t="shared" ref="C3:C21" si="1">EXP(-0.1/B3)</f>
        <v>0.85534532730742252</v>
      </c>
    </row>
    <row r="4" spans="1:3" x14ac:dyDescent="0.4">
      <c r="A4" s="37">
        <v>3</v>
      </c>
      <c r="B4" s="37">
        <f t="shared" si="0"/>
        <v>0.51200000000000012</v>
      </c>
      <c r="C4" s="37">
        <f t="shared" si="1"/>
        <v>0.82257756239866464</v>
      </c>
    </row>
    <row r="5" spans="1:3" x14ac:dyDescent="0.4">
      <c r="A5" s="37">
        <v>4</v>
      </c>
      <c r="B5" s="37">
        <f t="shared" si="0"/>
        <v>0.40960000000000019</v>
      </c>
      <c r="C5" s="37">
        <f t="shared" si="1"/>
        <v>0.78337746406081832</v>
      </c>
    </row>
    <row r="6" spans="1:3" x14ac:dyDescent="0.4">
      <c r="A6" s="37">
        <v>5</v>
      </c>
      <c r="B6" s="37">
        <f t="shared" si="0"/>
        <v>0.32768000000000019</v>
      </c>
      <c r="C6" s="37">
        <f t="shared" si="1"/>
        <v>0.73699381331101099</v>
      </c>
    </row>
    <row r="7" spans="1:3" x14ac:dyDescent="0.4">
      <c r="A7" s="37">
        <v>6</v>
      </c>
      <c r="B7" s="37">
        <f t="shared" si="0"/>
        <v>0.26214400000000015</v>
      </c>
      <c r="C7" s="37">
        <f t="shared" si="1"/>
        <v>0.68285705817565756</v>
      </c>
    </row>
    <row r="8" spans="1:3" x14ac:dyDescent="0.4">
      <c r="A8" s="37">
        <v>7</v>
      </c>
      <c r="B8" s="37">
        <f t="shared" si="0"/>
        <v>0.20971520000000016</v>
      </c>
      <c r="C8" s="37">
        <f t="shared" si="1"/>
        <v>0.62074360406750029</v>
      </c>
    </row>
    <row r="9" spans="1:3" x14ac:dyDescent="0.4">
      <c r="A9" s="37">
        <v>8</v>
      </c>
      <c r="B9" s="37">
        <f t="shared" si="0"/>
        <v>0.16777216000000014</v>
      </c>
      <c r="C9" s="37">
        <f t="shared" si="1"/>
        <v>0.5509856863494198</v>
      </c>
    </row>
    <row r="10" spans="1:3" x14ac:dyDescent="0.4">
      <c r="A10" s="37">
        <v>9</v>
      </c>
      <c r="B10" s="37">
        <f t="shared" si="0"/>
        <v>0.13421772800000012</v>
      </c>
      <c r="C10" s="37">
        <f t="shared" si="1"/>
        <v>0.47470673781262673</v>
      </c>
    </row>
    <row r="11" spans="1:3" x14ac:dyDescent="0.4">
      <c r="A11" s="37">
        <v>10</v>
      </c>
      <c r="B11" s="37">
        <f t="shared" si="0"/>
        <v>0.10737418240000011</v>
      </c>
      <c r="C11" s="37">
        <f t="shared" si="1"/>
        <v>0.39403222857512921</v>
      </c>
    </row>
    <row r="12" spans="1:3" x14ac:dyDescent="0.4">
      <c r="A12" s="37">
        <v>11</v>
      </c>
      <c r="B12" s="37">
        <f t="shared" si="0"/>
        <v>8.5899345920000092E-2</v>
      </c>
      <c r="C12" s="37">
        <f t="shared" si="1"/>
        <v>0.31218690430620816</v>
      </c>
    </row>
    <row r="13" spans="1:3" x14ac:dyDescent="0.4">
      <c r="A13" s="37">
        <v>12</v>
      </c>
      <c r="B13" s="37">
        <f t="shared" si="0"/>
        <v>6.8719476736000096E-2</v>
      </c>
      <c r="C13" s="37">
        <f t="shared" si="1"/>
        <v>0.23335566668177984</v>
      </c>
    </row>
    <row r="14" spans="1:3" x14ac:dyDescent="0.4">
      <c r="A14" s="37">
        <v>13</v>
      </c>
      <c r="B14" s="37">
        <f t="shared" si="0"/>
        <v>5.4975581388800078E-2</v>
      </c>
      <c r="C14" s="37">
        <f t="shared" si="1"/>
        <v>0.16218957635000422</v>
      </c>
    </row>
    <row r="15" spans="1:3" x14ac:dyDescent="0.4">
      <c r="A15" s="37">
        <v>14</v>
      </c>
      <c r="B15" s="37">
        <f t="shared" si="0"/>
        <v>4.3980465111040062E-2</v>
      </c>
      <c r="C15" s="37">
        <f t="shared" si="1"/>
        <v>0.10292684822989381</v>
      </c>
    </row>
    <row r="16" spans="1:3" x14ac:dyDescent="0.4">
      <c r="A16" s="37">
        <v>15</v>
      </c>
      <c r="B16" s="37">
        <f t="shared" si="0"/>
        <v>3.5184372088832058E-2</v>
      </c>
      <c r="C16" s="37">
        <f t="shared" si="1"/>
        <v>5.8298964751914338E-2</v>
      </c>
    </row>
    <row r="17" spans="1:3" x14ac:dyDescent="0.4">
      <c r="A17" s="37">
        <v>16</v>
      </c>
      <c r="B17" s="37">
        <f t="shared" si="0"/>
        <v>2.8147497671065648E-2</v>
      </c>
      <c r="C17" s="37">
        <f t="shared" si="1"/>
        <v>2.8646795877831217E-2</v>
      </c>
    </row>
    <row r="18" spans="1:3" x14ac:dyDescent="0.4">
      <c r="A18" s="37">
        <v>17</v>
      </c>
      <c r="B18" s="37">
        <f t="shared" si="0"/>
        <v>2.251799813685252E-2</v>
      </c>
      <c r="C18" s="37">
        <f t="shared" si="1"/>
        <v>1.1785420073127526E-2</v>
      </c>
    </row>
    <row r="19" spans="1:3" x14ac:dyDescent="0.4">
      <c r="A19" s="37">
        <v>18</v>
      </c>
      <c r="B19" s="37">
        <f t="shared" si="0"/>
        <v>1.8014398509482017E-2</v>
      </c>
      <c r="C19" s="37">
        <f t="shared" si="1"/>
        <v>3.8831246661310348E-3</v>
      </c>
    </row>
    <row r="20" spans="1:3" x14ac:dyDescent="0.4">
      <c r="A20" s="37">
        <v>19</v>
      </c>
      <c r="B20" s="37">
        <f t="shared" si="0"/>
        <v>1.4411518807585615E-2</v>
      </c>
      <c r="C20" s="37">
        <f t="shared" si="1"/>
        <v>9.6934118891205503E-4</v>
      </c>
    </row>
    <row r="21" spans="1:3" x14ac:dyDescent="0.4">
      <c r="A21" s="37">
        <v>20</v>
      </c>
      <c r="B21" s="37">
        <f t="shared" si="0"/>
        <v>1.1529215046068495E-2</v>
      </c>
      <c r="C21" s="37">
        <f t="shared" si="1"/>
        <v>1.7103926979819298E-4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3F93-4E8A-48A9-A9F8-3000FE641335}">
  <dimension ref="A1:S389"/>
  <sheetViews>
    <sheetView workbookViewId="0">
      <selection activeCell="D1" activeCellId="1" sqref="A1:A1048576 D1:D1048576"/>
    </sheetView>
  </sheetViews>
  <sheetFormatPr defaultRowHeight="18.75" x14ac:dyDescent="0.4"/>
  <cols>
    <col min="1" max="1" width="7.5" style="30" bestFit="1" customWidth="1"/>
    <col min="2" max="2" width="6.125" style="40" bestFit="1" customWidth="1"/>
    <col min="3" max="3" width="6.125" style="40" customWidth="1"/>
    <col min="4" max="4" width="9.125" style="40" bestFit="1" customWidth="1"/>
    <col min="5" max="6" width="9.125" style="30" customWidth="1"/>
    <col min="7" max="7" width="8.125" style="38" bestFit="1" customWidth="1"/>
    <col min="8" max="9" width="8.125" style="30" customWidth="1"/>
    <col min="10" max="11" width="8.125" style="38" customWidth="1"/>
    <col min="12" max="12" width="5.5" style="30" bestFit="1" customWidth="1"/>
    <col min="13" max="13" width="6.75" style="30" bestFit="1" customWidth="1"/>
    <col min="14" max="14" width="8.875" style="30" customWidth="1"/>
    <col min="15" max="15" width="6.75" style="30" bestFit="1" customWidth="1"/>
    <col min="16" max="16" width="6.75" style="30" customWidth="1"/>
    <col min="17" max="17" width="7.125" style="39" bestFit="1" customWidth="1"/>
    <col min="18" max="18" width="7.125" style="39" customWidth="1"/>
    <col min="19" max="19" width="8" style="39" customWidth="1"/>
  </cols>
  <sheetData>
    <row r="1" spans="1:19" x14ac:dyDescent="0.4">
      <c r="A1" s="42" t="s">
        <v>24</v>
      </c>
      <c r="B1" s="41" t="s">
        <v>14</v>
      </c>
      <c r="C1" s="41" t="s">
        <v>15</v>
      </c>
      <c r="D1" s="41" t="s">
        <v>21</v>
      </c>
      <c r="E1" s="42" t="s">
        <v>33</v>
      </c>
      <c r="F1" s="42" t="s">
        <v>35</v>
      </c>
      <c r="G1" s="43" t="s">
        <v>18</v>
      </c>
      <c r="H1" s="42" t="s">
        <v>34</v>
      </c>
      <c r="I1" s="42" t="s">
        <v>36</v>
      </c>
      <c r="J1" s="43" t="s">
        <v>19</v>
      </c>
      <c r="K1" s="43" t="s">
        <v>37</v>
      </c>
      <c r="L1" s="42" t="s">
        <v>26</v>
      </c>
      <c r="M1" s="42" t="s">
        <v>25</v>
      </c>
      <c r="N1" s="42" t="s">
        <v>27</v>
      </c>
      <c r="O1" s="42" t="s">
        <v>28</v>
      </c>
      <c r="P1" s="42" t="s">
        <v>32</v>
      </c>
      <c r="Q1" s="44" t="s">
        <v>18</v>
      </c>
      <c r="R1" s="44" t="s">
        <v>19</v>
      </c>
      <c r="S1" s="44" t="s">
        <v>29</v>
      </c>
    </row>
    <row r="2" spans="1:19" x14ac:dyDescent="0.4">
      <c r="A2" s="42">
        <v>1</v>
      </c>
      <c r="B2" s="41">
        <v>2</v>
      </c>
      <c r="C2" s="41">
        <v>1</v>
      </c>
      <c r="D2" s="41">
        <f>B2^2-16*B2+2*C2^2-16*C2</f>
        <v>-42</v>
      </c>
      <c r="E2" s="42">
        <f ca="1">2*(RAND()-0.5)</f>
        <v>-0.82129261787416286</v>
      </c>
      <c r="F2" s="42">
        <v>0.5</v>
      </c>
      <c r="G2" s="43">
        <f ca="1">B2+E2*F2</f>
        <v>1.5893536910629185</v>
      </c>
      <c r="H2" s="42">
        <f ca="1">2*(RAND()-0.5)</f>
        <v>-0.31683861880436814</v>
      </c>
      <c r="I2" s="42">
        <v>0.5</v>
      </c>
      <c r="J2" s="43">
        <f ca="1">C2+H2*I2</f>
        <v>0.84158069059781593</v>
      </c>
      <c r="K2" s="43">
        <f ca="1">G2^2-16*G2+2*J2^2-16*J2</f>
        <v>-34.952388833702237</v>
      </c>
      <c r="L2" s="42">
        <f>(0.9^A2)*1</f>
        <v>0.9</v>
      </c>
      <c r="M2" s="42">
        <f ca="1">K2-D2</f>
        <v>7.047611166297763</v>
      </c>
      <c r="N2" s="42">
        <f ca="1">M2/L2</f>
        <v>7.8306790736641805</v>
      </c>
      <c r="O2" s="42">
        <f ca="1">IF(M2&lt;0,1,EXP(-N2))</f>
        <v>3.9735555495761909E-4</v>
      </c>
      <c r="P2" s="42">
        <f ca="1">RAND()</f>
        <v>2.1629572881793235E-2</v>
      </c>
      <c r="Q2" s="44">
        <f ca="1">IF(M2&lt;0,G2,IF(P2&lt;O2,G2,B2))</f>
        <v>2</v>
      </c>
      <c r="R2" s="44">
        <f ca="1">IF(N2&lt;0,J2,IF(P2&lt;O2,J2,C2))</f>
        <v>1</v>
      </c>
      <c r="S2" s="44">
        <f ca="1">Q2^2-16*Q2+2*R2^2-16*R2</f>
        <v>-42</v>
      </c>
    </row>
    <row r="3" spans="1:19" x14ac:dyDescent="0.4">
      <c r="A3" s="42">
        <v>2</v>
      </c>
      <c r="B3" s="41">
        <f ca="1">Q2</f>
        <v>2</v>
      </c>
      <c r="C3" s="41">
        <f ca="1">R2</f>
        <v>1</v>
      </c>
      <c r="D3" s="41">
        <f ca="1">S2</f>
        <v>-42</v>
      </c>
      <c r="E3" s="42">
        <f ca="1">2*(RAND()-0.5)</f>
        <v>-0.8059670508191028</v>
      </c>
      <c r="F3" s="42">
        <v>0.5</v>
      </c>
      <c r="G3" s="43">
        <f ca="1">B3+E3*F3</f>
        <v>1.5970164745904487</v>
      </c>
      <c r="H3" s="42">
        <f ca="1">2*(RAND()-0.5)</f>
        <v>0.41106165775944881</v>
      </c>
      <c r="I3" s="42">
        <v>0.5</v>
      </c>
      <c r="J3" s="43">
        <f ca="1">C3+H3*I3</f>
        <v>1.2055308288797244</v>
      </c>
      <c r="K3" s="43">
        <f ca="1">G3^2-16*G3+2*J3^2-16*J3</f>
        <v>-39.383686076650591</v>
      </c>
      <c r="L3" s="42">
        <f t="shared" ref="L3:L66" si="0">(0.9^A3)*1</f>
        <v>0.81</v>
      </c>
      <c r="M3" s="42">
        <f ca="1">K3-D3</f>
        <v>2.6163139233494093</v>
      </c>
      <c r="N3" s="42">
        <f ca="1">M3/L3</f>
        <v>3.2300171893202583</v>
      </c>
      <c r="O3" s="42">
        <f ca="1">IF(M3&lt;0,1,EXP(-N3))</f>
        <v>3.9556818827727484E-2</v>
      </c>
      <c r="P3" s="42">
        <f ca="1">RAND()</f>
        <v>2.6031046966800253E-2</v>
      </c>
      <c r="Q3" s="44">
        <f ca="1">IF(M3&lt;0,G3,IF(P3&lt;O3,G3,B3))</f>
        <v>1.5970164745904487</v>
      </c>
      <c r="R3" s="44">
        <f ca="1">IF(N3&lt;0,J3,IF(P3&lt;O3,J3,C3))</f>
        <v>1.2055308288797244</v>
      </c>
      <c r="S3" s="44">
        <f ca="1">Q3^2-16*Q3+2*R3^2-16*R3</f>
        <v>-39.383686076650591</v>
      </c>
    </row>
    <row r="4" spans="1:19" x14ac:dyDescent="0.4">
      <c r="A4" s="42">
        <v>3</v>
      </c>
      <c r="B4" s="41">
        <f t="shared" ref="B4:B67" ca="1" si="1">Q3</f>
        <v>1.5970164745904487</v>
      </c>
      <c r="C4" s="41">
        <f t="shared" ref="C4:C67" ca="1" si="2">R3</f>
        <v>1.2055308288797244</v>
      </c>
      <c r="D4" s="41">
        <f t="shared" ref="D4:D67" ca="1" si="3">S3</f>
        <v>-39.383686076650591</v>
      </c>
      <c r="E4" s="42">
        <f t="shared" ref="E4:E67" ca="1" si="4">2*(RAND()-0.5)</f>
        <v>-0.70356907342062724</v>
      </c>
      <c r="F4" s="42">
        <v>0.5</v>
      </c>
      <c r="G4" s="43">
        <f t="shared" ref="G4:G67" ca="1" si="5">B4+E4*F4</f>
        <v>1.2452319378801351</v>
      </c>
      <c r="H4" s="42">
        <f t="shared" ref="H4:H67" ca="1" si="6">2*(RAND()-0.5)</f>
        <v>0.42051770025925861</v>
      </c>
      <c r="I4" s="42">
        <v>0.5</v>
      </c>
      <c r="J4" s="43">
        <f t="shared" ref="J4:J67" ca="1" si="7">C4+H4*I4</f>
        <v>1.4157896790093538</v>
      </c>
      <c r="K4" s="43">
        <f t="shared" ref="K4:K67" ca="1" si="8">G4^2-16*G4+2*J4^2-16*J4</f>
        <v>-37.016822460736286</v>
      </c>
      <c r="L4" s="42">
        <f t="shared" si="0"/>
        <v>0.72900000000000009</v>
      </c>
      <c r="M4" s="42">
        <f ca="1">K4-D4</f>
        <v>2.3668636159143048</v>
      </c>
      <c r="N4" s="42">
        <f t="shared" ref="N4:N67" ca="1" si="9">M4/L4</f>
        <v>3.2467264964530926</v>
      </c>
      <c r="O4" s="42">
        <f t="shared" ref="O4:O67" ca="1" si="10">IF(M4&lt;0,1,EXP(-N4))</f>
        <v>3.8901343314284111E-2</v>
      </c>
      <c r="P4" s="42">
        <f t="shared" ref="P4:P67" ca="1" si="11">RAND()</f>
        <v>0.93271604388490581</v>
      </c>
      <c r="Q4" s="44">
        <f ca="1">IF(M4&lt;0,G4,IF(P4&lt;O4,G4,B4))</f>
        <v>1.5970164745904487</v>
      </c>
      <c r="R4" s="44">
        <f ca="1">IF(N4&lt;0,J4,IF(P4&lt;O4,J4,C4))</f>
        <v>1.2055308288797244</v>
      </c>
      <c r="S4" s="44">
        <f t="shared" ref="S4:S67" ca="1" si="12">Q4^2-16*Q4+2*R4^2-16*R4</f>
        <v>-39.383686076650591</v>
      </c>
    </row>
    <row r="5" spans="1:19" x14ac:dyDescent="0.4">
      <c r="A5" s="42">
        <v>4</v>
      </c>
      <c r="B5" s="41">
        <f t="shared" ca="1" si="1"/>
        <v>1.5970164745904487</v>
      </c>
      <c r="C5" s="41">
        <f t="shared" ca="1" si="2"/>
        <v>1.2055308288797244</v>
      </c>
      <c r="D5" s="41">
        <f t="shared" ca="1" si="3"/>
        <v>-39.383686076650591</v>
      </c>
      <c r="E5" s="42">
        <f t="shared" ca="1" si="4"/>
        <v>-0.9015406660111791</v>
      </c>
      <c r="F5" s="42">
        <v>0.5</v>
      </c>
      <c r="G5" s="43">
        <f t="shared" ca="1" si="5"/>
        <v>1.146246141584859</v>
      </c>
      <c r="H5" s="42">
        <f t="shared" ca="1" si="6"/>
        <v>-0.1324930209844144</v>
      </c>
      <c r="I5" s="42">
        <v>0.5</v>
      </c>
      <c r="J5" s="43">
        <f t="shared" ca="1" si="7"/>
        <v>1.1392843183875172</v>
      </c>
      <c r="K5" s="43">
        <f t="shared" ca="1" si="8"/>
        <v>-32.658669626212422</v>
      </c>
      <c r="L5" s="42">
        <f t="shared" si="0"/>
        <v>0.65610000000000013</v>
      </c>
      <c r="M5" s="42">
        <f ca="1">K5-D5</f>
        <v>6.7250164504381686</v>
      </c>
      <c r="N5" s="42">
        <f t="shared" ca="1" si="9"/>
        <v>10.249986969117767</v>
      </c>
      <c r="O5" s="42">
        <f t="shared" ca="1" si="10"/>
        <v>3.5357961592841547E-5</v>
      </c>
      <c r="P5" s="42">
        <f t="shared" ca="1" si="11"/>
        <v>6.4605476366418779E-2</v>
      </c>
      <c r="Q5" s="44">
        <f ca="1">IF(M5&lt;0,G5,IF(P5&lt;O5,G5,B5))</f>
        <v>1.5970164745904487</v>
      </c>
      <c r="R5" s="44">
        <f ca="1">IF(N5&lt;0,J5,IF(P5&lt;O5,J5,C5))</f>
        <v>1.2055308288797244</v>
      </c>
      <c r="S5" s="44">
        <f t="shared" ca="1" si="12"/>
        <v>-39.383686076650591</v>
      </c>
    </row>
    <row r="6" spans="1:19" x14ac:dyDescent="0.4">
      <c r="A6" s="42">
        <v>5</v>
      </c>
      <c r="B6" s="41">
        <f t="shared" ca="1" si="1"/>
        <v>1.5970164745904487</v>
      </c>
      <c r="C6" s="41">
        <f t="shared" ca="1" si="2"/>
        <v>1.2055308288797244</v>
      </c>
      <c r="D6" s="41">
        <f t="shared" ca="1" si="3"/>
        <v>-39.383686076650591</v>
      </c>
      <c r="E6" s="42">
        <f t="shared" ca="1" si="4"/>
        <v>-0.45332413085283019</v>
      </c>
      <c r="F6" s="42">
        <v>0.5</v>
      </c>
      <c r="G6" s="43">
        <f t="shared" ca="1" si="5"/>
        <v>1.3703544091640336</v>
      </c>
      <c r="H6" s="42">
        <f t="shared" ca="1" si="6"/>
        <v>0.80464215633886238</v>
      </c>
      <c r="I6" s="42">
        <v>0.5</v>
      </c>
      <c r="J6" s="43">
        <f t="shared" ca="1" si="7"/>
        <v>1.6078519070491555</v>
      </c>
      <c r="K6" s="43">
        <f t="shared" ca="1" si="8"/>
        <v>-40.603054342692502</v>
      </c>
      <c r="L6" s="42">
        <f t="shared" si="0"/>
        <v>0.59049000000000018</v>
      </c>
      <c r="M6" s="42">
        <f ca="1">K6-D6</f>
        <v>-1.2193682660419114</v>
      </c>
      <c r="N6" s="42">
        <f t="shared" ca="1" si="9"/>
        <v>-2.0650108656233144</v>
      </c>
      <c r="O6" s="42">
        <f t="shared" ca="1" si="10"/>
        <v>1</v>
      </c>
      <c r="P6" s="42">
        <f t="shared" ca="1" si="11"/>
        <v>0.99090595971480844</v>
      </c>
      <c r="Q6" s="44">
        <f ca="1">IF(M6&lt;0,G6,IF(P6&lt;O6,G6,B6))</f>
        <v>1.3703544091640336</v>
      </c>
      <c r="R6" s="44">
        <f ca="1">IF(N6&lt;0,J6,IF(P6&lt;O6,J6,C6))</f>
        <v>1.6078519070491555</v>
      </c>
      <c r="S6" s="44">
        <f t="shared" ca="1" si="12"/>
        <v>-40.603054342692502</v>
      </c>
    </row>
    <row r="7" spans="1:19" x14ac:dyDescent="0.4">
      <c r="A7" s="42">
        <v>6</v>
      </c>
      <c r="B7" s="41">
        <f t="shared" ca="1" si="1"/>
        <v>1.3703544091640336</v>
      </c>
      <c r="C7" s="41">
        <f t="shared" ca="1" si="2"/>
        <v>1.6078519070491555</v>
      </c>
      <c r="D7" s="41">
        <f t="shared" ca="1" si="3"/>
        <v>-40.603054342692502</v>
      </c>
      <c r="E7" s="42">
        <f t="shared" ca="1" si="4"/>
        <v>-0.32724984793728962</v>
      </c>
      <c r="F7" s="42">
        <v>0.5</v>
      </c>
      <c r="G7" s="43">
        <f t="shared" ca="1" si="5"/>
        <v>1.2067294851953889</v>
      </c>
      <c r="H7" s="42">
        <f t="shared" ca="1" si="6"/>
        <v>0.62907733427426704</v>
      </c>
      <c r="I7" s="42">
        <v>0.5</v>
      </c>
      <c r="J7" s="43">
        <f t="shared" ca="1" si="7"/>
        <v>1.922390574186289</v>
      </c>
      <c r="K7" s="43">
        <f t="shared" ca="1" si="8"/>
        <v>-41.218553860226336</v>
      </c>
      <c r="L7" s="42">
        <f t="shared" si="0"/>
        <v>0.53144100000000016</v>
      </c>
      <c r="M7" s="42">
        <f ca="1">K7-D7</f>
        <v>-0.61549951753383425</v>
      </c>
      <c r="N7" s="42">
        <f t="shared" ca="1" si="9"/>
        <v>-1.1581709306091064</v>
      </c>
      <c r="O7" s="42">
        <f t="shared" ca="1" si="10"/>
        <v>1</v>
      </c>
      <c r="P7" s="42">
        <f t="shared" ca="1" si="11"/>
        <v>0.17497060776919904</v>
      </c>
      <c r="Q7" s="44">
        <f ca="1">IF(M7&lt;0,G7,IF(P7&lt;O7,G7,B7))</f>
        <v>1.2067294851953889</v>
      </c>
      <c r="R7" s="44">
        <f ca="1">IF(N7&lt;0,J7,IF(P7&lt;O7,J7,C7))</f>
        <v>1.922390574186289</v>
      </c>
      <c r="S7" s="44">
        <f t="shared" ca="1" si="12"/>
        <v>-41.218553860226336</v>
      </c>
    </row>
    <row r="8" spans="1:19" x14ac:dyDescent="0.4">
      <c r="A8" s="42">
        <v>7</v>
      </c>
      <c r="B8" s="41">
        <f t="shared" ca="1" si="1"/>
        <v>1.2067294851953889</v>
      </c>
      <c r="C8" s="41">
        <f t="shared" ca="1" si="2"/>
        <v>1.922390574186289</v>
      </c>
      <c r="D8" s="41">
        <f t="shared" ca="1" si="3"/>
        <v>-41.218553860226336</v>
      </c>
      <c r="E8" s="42">
        <f t="shared" ca="1" si="4"/>
        <v>-3.1069441706074397E-2</v>
      </c>
      <c r="F8" s="42">
        <v>0.5</v>
      </c>
      <c r="G8" s="43">
        <f t="shared" ca="1" si="5"/>
        <v>1.1911947643423517</v>
      </c>
      <c r="H8" s="42">
        <f t="shared" ca="1" si="6"/>
        <v>0.36523247604512354</v>
      </c>
      <c r="I8" s="42">
        <v>0.5</v>
      </c>
      <c r="J8" s="43">
        <f t="shared" ca="1" si="7"/>
        <v>2.1050068122088508</v>
      </c>
      <c r="K8" s="43">
        <f t="shared" ca="1" si="8"/>
        <v>-42.458172899331274</v>
      </c>
      <c r="L8" s="42">
        <f t="shared" si="0"/>
        <v>0.47829690000000014</v>
      </c>
      <c r="M8" s="42">
        <f ca="1">K8-D8</f>
        <v>-1.2396190391049373</v>
      </c>
      <c r="N8" s="42">
        <f t="shared" ca="1" si="9"/>
        <v>-2.5917354662029735</v>
      </c>
      <c r="O8" s="42">
        <f t="shared" ca="1" si="10"/>
        <v>1</v>
      </c>
      <c r="P8" s="42">
        <f t="shared" ca="1" si="11"/>
        <v>0.86990299329662391</v>
      </c>
      <c r="Q8" s="44">
        <f ca="1">IF(M8&lt;0,G8,IF(P8&lt;O8,G8,B8))</f>
        <v>1.1911947643423517</v>
      </c>
      <c r="R8" s="44">
        <f ca="1">IF(N8&lt;0,J8,IF(P8&lt;O8,J8,C8))</f>
        <v>2.1050068122088508</v>
      </c>
      <c r="S8" s="44">
        <f t="shared" ca="1" si="12"/>
        <v>-42.458172899331274</v>
      </c>
    </row>
    <row r="9" spans="1:19" x14ac:dyDescent="0.4">
      <c r="A9" s="42">
        <v>8</v>
      </c>
      <c r="B9" s="41">
        <f t="shared" ca="1" si="1"/>
        <v>1.1911947643423517</v>
      </c>
      <c r="C9" s="41">
        <f t="shared" ca="1" si="2"/>
        <v>2.1050068122088508</v>
      </c>
      <c r="D9" s="41">
        <f t="shared" ca="1" si="3"/>
        <v>-42.458172899331274</v>
      </c>
      <c r="E9" s="42">
        <f t="shared" ca="1" si="4"/>
        <v>-9.5561442760062176E-2</v>
      </c>
      <c r="F9" s="42">
        <v>0.5</v>
      </c>
      <c r="G9" s="43">
        <f t="shared" ca="1" si="5"/>
        <v>1.1434140429623207</v>
      </c>
      <c r="H9" s="42">
        <f t="shared" ca="1" si="6"/>
        <v>-0.55656233515492293</v>
      </c>
      <c r="I9" s="42">
        <v>0.5</v>
      </c>
      <c r="J9" s="43">
        <f t="shared" ca="1" si="7"/>
        <v>1.8267256446313893</v>
      </c>
      <c r="K9" s="43">
        <f t="shared" ca="1" si="8"/>
        <v>-39.540986166347992</v>
      </c>
      <c r="L9" s="42">
        <f t="shared" si="0"/>
        <v>0.43046721000000016</v>
      </c>
      <c r="M9" s="42">
        <f ca="1">K9-D9</f>
        <v>2.9171867329832821</v>
      </c>
      <c r="N9" s="42">
        <f t="shared" ca="1" si="9"/>
        <v>6.7767919721069605</v>
      </c>
      <c r="O9" s="42">
        <f t="shared" ca="1" si="10"/>
        <v>1.1399259530993045E-3</v>
      </c>
      <c r="P9" s="42">
        <f t="shared" ca="1" si="11"/>
        <v>7.3099752716617283E-2</v>
      </c>
      <c r="Q9" s="44">
        <f ca="1">IF(M9&lt;0,G9,IF(P9&lt;O9,G9,B9))</f>
        <v>1.1911947643423517</v>
      </c>
      <c r="R9" s="44">
        <f ca="1">IF(N9&lt;0,J9,IF(P9&lt;O9,J9,C9))</f>
        <v>2.1050068122088508</v>
      </c>
      <c r="S9" s="44">
        <f t="shared" ca="1" si="12"/>
        <v>-42.458172899331274</v>
      </c>
    </row>
    <row r="10" spans="1:19" x14ac:dyDescent="0.4">
      <c r="A10" s="42">
        <v>9</v>
      </c>
      <c r="B10" s="41">
        <f t="shared" ca="1" si="1"/>
        <v>1.1911947643423517</v>
      </c>
      <c r="C10" s="41">
        <f t="shared" ca="1" si="2"/>
        <v>2.1050068122088508</v>
      </c>
      <c r="D10" s="41">
        <f t="shared" ca="1" si="3"/>
        <v>-42.458172899331274</v>
      </c>
      <c r="E10" s="42">
        <f t="shared" ca="1" si="4"/>
        <v>0.26731870917907963</v>
      </c>
      <c r="F10" s="42">
        <v>0.5</v>
      </c>
      <c r="G10" s="43">
        <f t="shared" ca="1" si="5"/>
        <v>1.3248541189318916</v>
      </c>
      <c r="H10" s="42">
        <f t="shared" ca="1" si="6"/>
        <v>0.99761006258438178</v>
      </c>
      <c r="I10" s="42">
        <v>0.5</v>
      </c>
      <c r="J10" s="43">
        <f t="shared" ca="1" si="7"/>
        <v>2.6038118435010418</v>
      </c>
      <c r="K10" s="43">
        <f t="shared" ca="1" si="8"/>
        <v>-47.543744729763546</v>
      </c>
      <c r="L10" s="42">
        <f t="shared" si="0"/>
        <v>0.38742048900000015</v>
      </c>
      <c r="M10" s="42">
        <f ca="1">K10-D10</f>
        <v>-5.0855718304322721</v>
      </c>
      <c r="N10" s="42">
        <f t="shared" ca="1" si="9"/>
        <v>-13.126749810158518</v>
      </c>
      <c r="O10" s="42">
        <f t="shared" ca="1" si="10"/>
        <v>1</v>
      </c>
      <c r="P10" s="42">
        <f t="shared" ca="1" si="11"/>
        <v>0.6488451573083831</v>
      </c>
      <c r="Q10" s="44">
        <f ca="1">IF(M10&lt;0,G10,IF(P10&lt;O10,G10,B10))</f>
        <v>1.3248541189318916</v>
      </c>
      <c r="R10" s="44">
        <f ca="1">IF(N10&lt;0,J10,IF(P10&lt;O10,J10,C10))</f>
        <v>2.6038118435010418</v>
      </c>
      <c r="S10" s="44">
        <f t="shared" ca="1" si="12"/>
        <v>-47.543744729763546</v>
      </c>
    </row>
    <row r="11" spans="1:19" x14ac:dyDescent="0.4">
      <c r="A11" s="42">
        <v>10</v>
      </c>
      <c r="B11" s="41">
        <f t="shared" ca="1" si="1"/>
        <v>1.3248541189318916</v>
      </c>
      <c r="C11" s="41">
        <f t="shared" ca="1" si="2"/>
        <v>2.6038118435010418</v>
      </c>
      <c r="D11" s="41">
        <f t="shared" ca="1" si="3"/>
        <v>-47.543744729763546</v>
      </c>
      <c r="E11" s="42">
        <f t="shared" ca="1" si="4"/>
        <v>0.63671164066496178</v>
      </c>
      <c r="F11" s="42">
        <v>0.5</v>
      </c>
      <c r="G11" s="43">
        <f t="shared" ca="1" si="5"/>
        <v>1.6432099392643726</v>
      </c>
      <c r="H11" s="42">
        <f t="shared" ca="1" si="6"/>
        <v>-0.60810528278590947</v>
      </c>
      <c r="I11" s="42">
        <v>0.5</v>
      </c>
      <c r="J11" s="43">
        <f t="shared" ca="1" si="7"/>
        <v>2.299759202108087</v>
      </c>
      <c r="K11" s="43">
        <f t="shared" ca="1" si="8"/>
        <v>-49.809582582100482</v>
      </c>
      <c r="L11" s="42">
        <f t="shared" si="0"/>
        <v>0.34867844010000015</v>
      </c>
      <c r="M11" s="42">
        <f ca="1">K11-D11</f>
        <v>-2.2658378523369365</v>
      </c>
      <c r="N11" s="42">
        <f t="shared" ca="1" si="9"/>
        <v>-6.4983594961796305</v>
      </c>
      <c r="O11" s="42">
        <f t="shared" ca="1" si="10"/>
        <v>1</v>
      </c>
      <c r="P11" s="42">
        <f t="shared" ca="1" si="11"/>
        <v>2.42262498807988E-4</v>
      </c>
      <c r="Q11" s="44">
        <f ca="1">IF(M11&lt;0,G11,IF(P11&lt;O11,G11,B11))</f>
        <v>1.6432099392643726</v>
      </c>
      <c r="R11" s="44">
        <f ca="1">IF(N11&lt;0,J11,IF(P11&lt;O11,J11,C11))</f>
        <v>2.299759202108087</v>
      </c>
      <c r="S11" s="44">
        <f t="shared" ca="1" si="12"/>
        <v>-49.809582582100482</v>
      </c>
    </row>
    <row r="12" spans="1:19" x14ac:dyDescent="0.4">
      <c r="A12" s="42">
        <v>11</v>
      </c>
      <c r="B12" s="41">
        <f t="shared" ca="1" si="1"/>
        <v>1.6432099392643726</v>
      </c>
      <c r="C12" s="41">
        <f t="shared" ca="1" si="2"/>
        <v>2.299759202108087</v>
      </c>
      <c r="D12" s="41">
        <f t="shared" ca="1" si="3"/>
        <v>-49.809582582100482</v>
      </c>
      <c r="E12" s="42">
        <f t="shared" ca="1" si="4"/>
        <v>-0.33846594661111307</v>
      </c>
      <c r="F12" s="42">
        <v>0.5</v>
      </c>
      <c r="G12" s="43">
        <f t="shared" ca="1" si="5"/>
        <v>1.473976965958816</v>
      </c>
      <c r="H12" s="42">
        <f t="shared" ca="1" si="6"/>
        <v>0.22388389537108022</v>
      </c>
      <c r="I12" s="42">
        <v>0.5</v>
      </c>
      <c r="J12" s="43">
        <f t="shared" ca="1" si="7"/>
        <v>2.4117011497936272</v>
      </c>
      <c r="K12" s="43">
        <f t="shared" ca="1" si="8"/>
        <v>-48.365636884030124</v>
      </c>
      <c r="L12" s="42">
        <f t="shared" si="0"/>
        <v>0.31381059609000017</v>
      </c>
      <c r="M12" s="42">
        <f ca="1">K12-D12</f>
        <v>1.4439456980703582</v>
      </c>
      <c r="N12" s="42">
        <f t="shared" ca="1" si="9"/>
        <v>4.6013286869900272</v>
      </c>
      <c r="O12" s="42">
        <f t="shared" ca="1" si="10"/>
        <v>1.0038488870126611E-2</v>
      </c>
      <c r="P12" s="42">
        <f t="shared" ca="1" si="11"/>
        <v>0.26502739471597869</v>
      </c>
      <c r="Q12" s="44">
        <f ca="1">IF(M12&lt;0,G12,IF(P12&lt;O12,G12,B12))</f>
        <v>1.6432099392643726</v>
      </c>
      <c r="R12" s="44">
        <f ca="1">IF(N12&lt;0,J12,IF(P12&lt;O12,J12,C12))</f>
        <v>2.299759202108087</v>
      </c>
      <c r="S12" s="44">
        <f t="shared" ca="1" si="12"/>
        <v>-49.809582582100482</v>
      </c>
    </row>
    <row r="13" spans="1:19" x14ac:dyDescent="0.4">
      <c r="A13" s="42">
        <v>12</v>
      </c>
      <c r="B13" s="41">
        <f t="shared" ca="1" si="1"/>
        <v>1.6432099392643726</v>
      </c>
      <c r="C13" s="41">
        <f t="shared" ca="1" si="2"/>
        <v>2.299759202108087</v>
      </c>
      <c r="D13" s="41">
        <f t="shared" ca="1" si="3"/>
        <v>-49.809582582100482</v>
      </c>
      <c r="E13" s="42">
        <f t="shared" ca="1" si="4"/>
        <v>-0.1351867583165216</v>
      </c>
      <c r="F13" s="42">
        <v>0.5</v>
      </c>
      <c r="G13" s="43">
        <f t="shared" ca="1" si="5"/>
        <v>1.5756165601061118</v>
      </c>
      <c r="H13" s="42">
        <f t="shared" ca="1" si="6"/>
        <v>1.2110183107580941E-2</v>
      </c>
      <c r="I13" s="42">
        <v>0.5</v>
      </c>
      <c r="J13" s="43">
        <f t="shared" ca="1" si="7"/>
        <v>2.3058142936618777</v>
      </c>
      <c r="K13" s="43">
        <f t="shared" ca="1" si="8"/>
        <v>-48.986767002096371</v>
      </c>
      <c r="L13" s="42">
        <f t="shared" si="0"/>
        <v>0.28242953648100017</v>
      </c>
      <c r="M13" s="42">
        <f ca="1">K13-D13</f>
        <v>0.82281558000411081</v>
      </c>
      <c r="N13" s="42">
        <f t="shared" ca="1" si="9"/>
        <v>2.9133481938758341</v>
      </c>
      <c r="O13" s="42">
        <f t="shared" ca="1" si="10"/>
        <v>5.4293639570979671E-2</v>
      </c>
      <c r="P13" s="42">
        <f t="shared" ca="1" si="11"/>
        <v>0.94607556590666086</v>
      </c>
      <c r="Q13" s="44">
        <f ca="1">IF(M13&lt;0,G13,IF(P13&lt;O13,G13,B13))</f>
        <v>1.6432099392643726</v>
      </c>
      <c r="R13" s="44">
        <f ca="1">IF(N13&lt;0,J13,IF(P13&lt;O13,J13,C13))</f>
        <v>2.299759202108087</v>
      </c>
      <c r="S13" s="44">
        <f t="shared" ca="1" si="12"/>
        <v>-49.809582582100482</v>
      </c>
    </row>
    <row r="14" spans="1:19" x14ac:dyDescent="0.4">
      <c r="A14" s="42">
        <v>13</v>
      </c>
      <c r="B14" s="41">
        <f t="shared" ca="1" si="1"/>
        <v>1.6432099392643726</v>
      </c>
      <c r="C14" s="41">
        <f t="shared" ca="1" si="2"/>
        <v>2.299759202108087</v>
      </c>
      <c r="D14" s="41">
        <f t="shared" ca="1" si="3"/>
        <v>-49.809582582100482</v>
      </c>
      <c r="E14" s="42">
        <f t="shared" ca="1" si="4"/>
        <v>0.49232410886884148</v>
      </c>
      <c r="F14" s="42">
        <v>0.5</v>
      </c>
      <c r="G14" s="43">
        <f t="shared" ca="1" si="5"/>
        <v>1.8893719936987934</v>
      </c>
      <c r="H14" s="42">
        <f t="shared" ca="1" si="6"/>
        <v>0.76309467916962803</v>
      </c>
      <c r="I14" s="42">
        <v>0.5</v>
      </c>
      <c r="J14" s="43">
        <f t="shared" ca="1" si="7"/>
        <v>2.6813065416929009</v>
      </c>
      <c r="K14" s="43">
        <f t="shared" ca="1" si="8"/>
        <v>-55.18232049464347</v>
      </c>
      <c r="L14" s="42">
        <f t="shared" si="0"/>
        <v>0.25418658283290019</v>
      </c>
      <c r="M14" s="42">
        <f ca="1">K14-D14</f>
        <v>-5.3727379125429877</v>
      </c>
      <c r="N14" s="42">
        <f t="shared" ca="1" si="9"/>
        <v>-21.136984701017731</v>
      </c>
      <c r="O14" s="42">
        <f t="shared" ca="1" si="10"/>
        <v>1</v>
      </c>
      <c r="P14" s="42">
        <f t="shared" ca="1" si="11"/>
        <v>0.31023974627856155</v>
      </c>
      <c r="Q14" s="44">
        <f ca="1">IF(M14&lt;0,G14,IF(P14&lt;O14,G14,B14))</f>
        <v>1.8893719936987934</v>
      </c>
      <c r="R14" s="44">
        <f ca="1">IF(N14&lt;0,J14,IF(P14&lt;O14,J14,C14))</f>
        <v>2.6813065416929009</v>
      </c>
      <c r="S14" s="44">
        <f t="shared" ca="1" si="12"/>
        <v>-55.18232049464347</v>
      </c>
    </row>
    <row r="15" spans="1:19" x14ac:dyDescent="0.4">
      <c r="A15" s="42">
        <v>14</v>
      </c>
      <c r="B15" s="41">
        <f t="shared" ca="1" si="1"/>
        <v>1.8893719936987934</v>
      </c>
      <c r="C15" s="41">
        <f t="shared" ca="1" si="2"/>
        <v>2.6813065416929009</v>
      </c>
      <c r="D15" s="41">
        <f t="shared" ca="1" si="3"/>
        <v>-55.18232049464347</v>
      </c>
      <c r="E15" s="42">
        <f t="shared" ca="1" si="4"/>
        <v>-1.601787652509401E-2</v>
      </c>
      <c r="F15" s="42">
        <v>0.5</v>
      </c>
      <c r="G15" s="43">
        <f t="shared" ca="1" si="5"/>
        <v>1.8813630554362464</v>
      </c>
      <c r="H15" s="42">
        <f t="shared" ca="1" si="6"/>
        <v>0.75586968672497545</v>
      </c>
      <c r="I15" s="42">
        <v>0.5</v>
      </c>
      <c r="J15" s="43">
        <f t="shared" ca="1" si="7"/>
        <v>3.0592413850553886</v>
      </c>
      <c r="K15" s="43">
        <f t="shared" ca="1" si="8"/>
        <v>-56.792228397434528</v>
      </c>
      <c r="L15" s="42">
        <f t="shared" si="0"/>
        <v>0.22876792454961015</v>
      </c>
      <c r="M15" s="42">
        <f ca="1">K15-D15</f>
        <v>-1.6099079027910577</v>
      </c>
      <c r="N15" s="42">
        <f t="shared" ca="1" si="9"/>
        <v>-7.0372973219938286</v>
      </c>
      <c r="O15" s="42">
        <f t="shared" ca="1" si="10"/>
        <v>1</v>
      </c>
      <c r="P15" s="42">
        <f t="shared" ca="1" si="11"/>
        <v>0.44998537237466707</v>
      </c>
      <c r="Q15" s="44">
        <f ca="1">IF(M15&lt;0,G15,IF(P15&lt;O15,G15,B15))</f>
        <v>1.8813630554362464</v>
      </c>
      <c r="R15" s="44">
        <f ca="1">IF(N15&lt;0,J15,IF(P15&lt;O15,J15,C15))</f>
        <v>3.0592413850553886</v>
      </c>
      <c r="S15" s="44">
        <f t="shared" ca="1" si="12"/>
        <v>-56.792228397434528</v>
      </c>
    </row>
    <row r="16" spans="1:19" x14ac:dyDescent="0.4">
      <c r="A16" s="42">
        <v>15</v>
      </c>
      <c r="B16" s="41">
        <f t="shared" ca="1" si="1"/>
        <v>1.8813630554362464</v>
      </c>
      <c r="C16" s="41">
        <f t="shared" ca="1" si="2"/>
        <v>3.0592413850553886</v>
      </c>
      <c r="D16" s="41">
        <f t="shared" ca="1" si="3"/>
        <v>-56.792228397434528</v>
      </c>
      <c r="E16" s="42">
        <f t="shared" ca="1" si="4"/>
        <v>-0.19437834776653351</v>
      </c>
      <c r="F16" s="42">
        <v>0.5</v>
      </c>
      <c r="G16" s="43">
        <f t="shared" ca="1" si="5"/>
        <v>1.7841738815529795</v>
      </c>
      <c r="H16" s="42">
        <f t="shared" ca="1" si="6"/>
        <v>0.58008953000020069</v>
      </c>
      <c r="I16" s="42">
        <v>0.5</v>
      </c>
      <c r="J16" s="43">
        <f t="shared" ca="1" si="7"/>
        <v>3.3492861500554891</v>
      </c>
      <c r="K16" s="43">
        <f t="shared" ca="1" si="8"/>
        <v>-56.516648636212636</v>
      </c>
      <c r="L16" s="42">
        <f t="shared" si="0"/>
        <v>0.20589113209464913</v>
      </c>
      <c r="M16" s="42">
        <f ca="1">K16-D16</f>
        <v>0.27557976122189132</v>
      </c>
      <c r="N16" s="42">
        <f t="shared" ca="1" si="9"/>
        <v>1.3384731941500327</v>
      </c>
      <c r="O16" s="42">
        <f t="shared" ca="1" si="10"/>
        <v>0.26224576143323464</v>
      </c>
      <c r="P16" s="42">
        <f t="shared" ca="1" si="11"/>
        <v>0.89736044722074138</v>
      </c>
      <c r="Q16" s="44">
        <f ca="1">IF(M16&lt;0,G16,IF(P16&lt;O16,G16,B16))</f>
        <v>1.8813630554362464</v>
      </c>
      <c r="R16" s="44">
        <f ca="1">IF(N16&lt;0,J16,IF(P16&lt;O16,J16,C16))</f>
        <v>3.0592413850553886</v>
      </c>
      <c r="S16" s="44">
        <f t="shared" ca="1" si="12"/>
        <v>-56.792228397434528</v>
      </c>
    </row>
    <row r="17" spans="1:19" x14ac:dyDescent="0.4">
      <c r="A17" s="42">
        <v>16</v>
      </c>
      <c r="B17" s="41">
        <f t="shared" ca="1" si="1"/>
        <v>1.8813630554362464</v>
      </c>
      <c r="C17" s="41">
        <f t="shared" ca="1" si="2"/>
        <v>3.0592413850553886</v>
      </c>
      <c r="D17" s="41">
        <f t="shared" ca="1" si="3"/>
        <v>-56.792228397434528</v>
      </c>
      <c r="E17" s="42">
        <f t="shared" ca="1" si="4"/>
        <v>-0.4982447223498021</v>
      </c>
      <c r="F17" s="42">
        <v>0.5</v>
      </c>
      <c r="G17" s="43">
        <f t="shared" ca="1" si="5"/>
        <v>1.6322406942613452</v>
      </c>
      <c r="H17" s="42">
        <f t="shared" ca="1" si="6"/>
        <v>0.34893879742260947</v>
      </c>
      <c r="I17" s="42">
        <v>0.5</v>
      </c>
      <c r="J17" s="43">
        <f t="shared" ca="1" si="7"/>
        <v>3.2337107837666932</v>
      </c>
      <c r="K17" s="43">
        <f t="shared" ca="1" si="8"/>
        <v>-54.277243098347853</v>
      </c>
      <c r="L17" s="42">
        <f t="shared" si="0"/>
        <v>0.18530201888518424</v>
      </c>
      <c r="M17" s="42">
        <f ca="1">K17-D17</f>
        <v>2.5149852990866748</v>
      </c>
      <c r="N17" s="42">
        <f t="shared" ca="1" si="9"/>
        <v>13.572357787666606</v>
      </c>
      <c r="O17" s="42">
        <f t="shared" ca="1" si="10"/>
        <v>1.2752634316117339E-6</v>
      </c>
      <c r="P17" s="42">
        <f t="shared" ca="1" si="11"/>
        <v>0.26833319349216667</v>
      </c>
      <c r="Q17" s="44">
        <f ca="1">IF(M17&lt;0,G17,IF(P17&lt;O17,G17,B17))</f>
        <v>1.8813630554362464</v>
      </c>
      <c r="R17" s="44">
        <f ca="1">IF(N17&lt;0,J17,IF(P17&lt;O17,J17,C17))</f>
        <v>3.0592413850553886</v>
      </c>
      <c r="S17" s="44">
        <f t="shared" ca="1" si="12"/>
        <v>-56.792228397434528</v>
      </c>
    </row>
    <row r="18" spans="1:19" x14ac:dyDescent="0.4">
      <c r="A18" s="42">
        <v>17</v>
      </c>
      <c r="B18" s="41">
        <f t="shared" ca="1" si="1"/>
        <v>1.8813630554362464</v>
      </c>
      <c r="C18" s="41">
        <f t="shared" ca="1" si="2"/>
        <v>3.0592413850553886</v>
      </c>
      <c r="D18" s="41">
        <f t="shared" ca="1" si="3"/>
        <v>-56.792228397434528</v>
      </c>
      <c r="E18" s="42">
        <f t="shared" ca="1" si="4"/>
        <v>-0.89497758815678918</v>
      </c>
      <c r="F18" s="42">
        <v>0.5</v>
      </c>
      <c r="G18" s="43">
        <f t="shared" ca="1" si="5"/>
        <v>1.4338742613578517</v>
      </c>
      <c r="H18" s="42">
        <f t="shared" ca="1" si="6"/>
        <v>-0.48317958136632466</v>
      </c>
      <c r="I18" s="42">
        <v>0.5</v>
      </c>
      <c r="J18" s="43">
        <f t="shared" ca="1" si="7"/>
        <v>2.8176515943722262</v>
      </c>
      <c r="K18" s="43">
        <f t="shared" ca="1" si="8"/>
        <v>-50.090097279760023</v>
      </c>
      <c r="L18" s="42">
        <f t="shared" si="0"/>
        <v>0.16677181699666582</v>
      </c>
      <c r="M18" s="42">
        <f ca="1">K18-D18</f>
        <v>6.7021311176745044</v>
      </c>
      <c r="N18" s="42">
        <f t="shared" ca="1" si="9"/>
        <v>40.187432375390479</v>
      </c>
      <c r="O18" s="42">
        <f t="shared" ca="1" si="10"/>
        <v>3.5222475645449339E-18</v>
      </c>
      <c r="P18" s="42">
        <f t="shared" ca="1" si="11"/>
        <v>2.5023551970038915E-2</v>
      </c>
      <c r="Q18" s="44">
        <f ca="1">IF(M18&lt;0,G18,IF(P18&lt;O18,G18,B18))</f>
        <v>1.8813630554362464</v>
      </c>
      <c r="R18" s="44">
        <f ca="1">IF(N18&lt;0,J18,IF(P18&lt;O18,J18,C18))</f>
        <v>3.0592413850553886</v>
      </c>
      <c r="S18" s="44">
        <f t="shared" ca="1" si="12"/>
        <v>-56.792228397434528</v>
      </c>
    </row>
    <row r="19" spans="1:19" x14ac:dyDescent="0.4">
      <c r="A19" s="42">
        <v>18</v>
      </c>
      <c r="B19" s="41">
        <f t="shared" ca="1" si="1"/>
        <v>1.8813630554362464</v>
      </c>
      <c r="C19" s="41">
        <f t="shared" ca="1" si="2"/>
        <v>3.0592413850553886</v>
      </c>
      <c r="D19" s="41">
        <f t="shared" ca="1" si="3"/>
        <v>-56.792228397434528</v>
      </c>
      <c r="E19" s="42">
        <f t="shared" ca="1" si="4"/>
        <v>-0.29834421127160193</v>
      </c>
      <c r="F19" s="42">
        <v>0.5</v>
      </c>
      <c r="G19" s="43">
        <f t="shared" ca="1" si="5"/>
        <v>1.7321909498004455</v>
      </c>
      <c r="H19" s="42">
        <f t="shared" ca="1" si="6"/>
        <v>0.70681047532300156</v>
      </c>
      <c r="I19" s="42">
        <v>0.5</v>
      </c>
      <c r="J19" s="43">
        <f t="shared" ca="1" si="7"/>
        <v>3.4126466227168892</v>
      </c>
      <c r="K19" s="43">
        <f t="shared" ca="1" si="8"/>
        <v>-56.024601730624809</v>
      </c>
      <c r="L19" s="42">
        <f t="shared" si="0"/>
        <v>0.15009463529699923</v>
      </c>
      <c r="M19" s="42">
        <f ca="1">K19-D19</f>
        <v>0.76762666680971847</v>
      </c>
      <c r="N19" s="42">
        <f t="shared" ca="1" si="9"/>
        <v>5.1142844998475789</v>
      </c>
      <c r="O19" s="42">
        <f t="shared" ca="1" si="10"/>
        <v>6.0102766501976624E-3</v>
      </c>
      <c r="P19" s="42">
        <f t="shared" ca="1" si="11"/>
        <v>0.25119236069991646</v>
      </c>
      <c r="Q19" s="44">
        <f ca="1">IF(M19&lt;0,G19,IF(P19&lt;O19,G19,B19))</f>
        <v>1.8813630554362464</v>
      </c>
      <c r="R19" s="44">
        <f ca="1">IF(N19&lt;0,J19,IF(P19&lt;O19,J19,C19))</f>
        <v>3.0592413850553886</v>
      </c>
      <c r="S19" s="44">
        <f t="shared" ca="1" si="12"/>
        <v>-56.792228397434528</v>
      </c>
    </row>
    <row r="20" spans="1:19" x14ac:dyDescent="0.4">
      <c r="A20" s="42">
        <v>19</v>
      </c>
      <c r="B20" s="41">
        <f t="shared" ca="1" si="1"/>
        <v>1.8813630554362464</v>
      </c>
      <c r="C20" s="41">
        <f t="shared" ca="1" si="2"/>
        <v>3.0592413850553886</v>
      </c>
      <c r="D20" s="41">
        <f t="shared" ca="1" si="3"/>
        <v>-56.792228397434528</v>
      </c>
      <c r="E20" s="42">
        <f t="shared" ca="1" si="4"/>
        <v>4.5088442580729415E-2</v>
      </c>
      <c r="F20" s="42">
        <v>0.5</v>
      </c>
      <c r="G20" s="43">
        <f t="shared" ca="1" si="5"/>
        <v>1.9039072767266112</v>
      </c>
      <c r="H20" s="42">
        <f t="shared" ca="1" si="6"/>
        <v>-0.51952602498778666</v>
      </c>
      <c r="I20" s="42">
        <v>0.5</v>
      </c>
      <c r="J20" s="43">
        <f t="shared" ca="1" si="7"/>
        <v>2.7994783725614951</v>
      </c>
      <c r="K20" s="43">
        <f t="shared" ca="1" si="8"/>
        <v>-55.955149153358043</v>
      </c>
      <c r="L20" s="42">
        <f t="shared" si="0"/>
        <v>0.13508517176729934</v>
      </c>
      <c r="M20" s="42">
        <f ca="1">K20-D20</f>
        <v>0.83707924407648449</v>
      </c>
      <c r="N20" s="42">
        <f t="shared" ca="1" si="9"/>
        <v>6.1966774970568599</v>
      </c>
      <c r="O20" s="42">
        <f t="shared" ca="1" si="10"/>
        <v>2.0361846394422582E-3</v>
      </c>
      <c r="P20" s="42">
        <f t="shared" ca="1" si="11"/>
        <v>0.36355906995363751</v>
      </c>
      <c r="Q20" s="44">
        <f ca="1">IF(M20&lt;0,G20,IF(P20&lt;O20,G20,B20))</f>
        <v>1.8813630554362464</v>
      </c>
      <c r="R20" s="44">
        <f ca="1">IF(N20&lt;0,J20,IF(P20&lt;O20,J20,C20))</f>
        <v>3.0592413850553886</v>
      </c>
      <c r="S20" s="44">
        <f t="shared" ca="1" si="12"/>
        <v>-56.792228397434528</v>
      </c>
    </row>
    <row r="21" spans="1:19" x14ac:dyDescent="0.4">
      <c r="A21" s="42">
        <v>20</v>
      </c>
      <c r="B21" s="41">
        <f t="shared" ca="1" si="1"/>
        <v>1.8813630554362464</v>
      </c>
      <c r="C21" s="41">
        <f t="shared" ca="1" si="2"/>
        <v>3.0592413850553886</v>
      </c>
      <c r="D21" s="41">
        <f t="shared" ca="1" si="3"/>
        <v>-56.792228397434528</v>
      </c>
      <c r="E21" s="42">
        <f t="shared" ca="1" si="4"/>
        <v>-0.61346378621200226</v>
      </c>
      <c r="F21" s="42">
        <v>0.5</v>
      </c>
      <c r="G21" s="43">
        <f t="shared" ca="1" si="5"/>
        <v>1.5746311623302454</v>
      </c>
      <c r="H21" s="42">
        <f t="shared" ca="1" si="6"/>
        <v>2.7189197386046748E-2</v>
      </c>
      <c r="I21" s="42">
        <v>0.5</v>
      </c>
      <c r="J21" s="43">
        <f t="shared" ca="1" si="7"/>
        <v>3.072835983748412</v>
      </c>
      <c r="K21" s="43">
        <f t="shared" ca="1" si="8"/>
        <v>-52.995369073838873</v>
      </c>
      <c r="L21" s="42">
        <f t="shared" si="0"/>
        <v>0.12157665459056941</v>
      </c>
      <c r="M21" s="42">
        <f ca="1">K21-D21</f>
        <v>3.7968593235956547</v>
      </c>
      <c r="N21" s="42">
        <f t="shared" ca="1" si="9"/>
        <v>31.230167801394444</v>
      </c>
      <c r="O21" s="42">
        <f t="shared" ca="1" si="10"/>
        <v>2.7347048127438235E-14</v>
      </c>
      <c r="P21" s="42">
        <f t="shared" ca="1" si="11"/>
        <v>0.42933341064078634</v>
      </c>
      <c r="Q21" s="44">
        <f ca="1">IF(M21&lt;0,G21,IF(P21&lt;O21,G21,B21))</f>
        <v>1.8813630554362464</v>
      </c>
      <c r="R21" s="44">
        <f ca="1">IF(N21&lt;0,J21,IF(P21&lt;O21,J21,C21))</f>
        <v>3.0592413850553886</v>
      </c>
      <c r="S21" s="44">
        <f t="shared" ca="1" si="12"/>
        <v>-56.792228397434528</v>
      </c>
    </row>
    <row r="22" spans="1:19" x14ac:dyDescent="0.4">
      <c r="A22" s="42">
        <v>21</v>
      </c>
      <c r="B22" s="41">
        <f t="shared" ca="1" si="1"/>
        <v>1.8813630554362464</v>
      </c>
      <c r="C22" s="41">
        <f t="shared" ca="1" si="2"/>
        <v>3.0592413850553886</v>
      </c>
      <c r="D22" s="41">
        <f t="shared" ca="1" si="3"/>
        <v>-56.792228397434528</v>
      </c>
      <c r="E22" s="42">
        <f t="shared" ca="1" si="4"/>
        <v>0.18707879125510152</v>
      </c>
      <c r="F22" s="42">
        <v>0.5</v>
      </c>
      <c r="G22" s="43">
        <f t="shared" ca="1" si="5"/>
        <v>1.9749024510637971</v>
      </c>
      <c r="H22" s="42">
        <f t="shared" ca="1" si="6"/>
        <v>0.37939205826359856</v>
      </c>
      <c r="I22" s="42">
        <v>0.5</v>
      </c>
      <c r="J22" s="43">
        <f t="shared" ca="1" si="7"/>
        <v>3.2489374141871878</v>
      </c>
      <c r="K22" s="43">
        <f t="shared" ca="1" si="8"/>
        <v>-58.570009510187305</v>
      </c>
      <c r="L22" s="42">
        <f t="shared" si="0"/>
        <v>0.10941898913151248</v>
      </c>
      <c r="M22" s="42">
        <f ca="1">K22-D22</f>
        <v>-1.7777811127527769</v>
      </c>
      <c r="N22" s="42">
        <f t="shared" ca="1" si="9"/>
        <v>-16.247464236907113</v>
      </c>
      <c r="O22" s="42">
        <f t="shared" ca="1" si="10"/>
        <v>1</v>
      </c>
      <c r="P22" s="42">
        <f t="shared" ca="1" si="11"/>
        <v>0.17695819714555394</v>
      </c>
      <c r="Q22" s="44">
        <f ca="1">IF(M22&lt;0,G22,IF(P22&lt;O22,G22,B22))</f>
        <v>1.9749024510637971</v>
      </c>
      <c r="R22" s="44">
        <f ca="1">IF(N22&lt;0,J22,IF(P22&lt;O22,J22,C22))</f>
        <v>3.2489374141871878</v>
      </c>
      <c r="S22" s="44">
        <f t="shared" ca="1" si="12"/>
        <v>-58.570009510187305</v>
      </c>
    </row>
    <row r="23" spans="1:19" x14ac:dyDescent="0.4">
      <c r="A23" s="42">
        <v>22</v>
      </c>
      <c r="B23" s="41">
        <f t="shared" ca="1" si="1"/>
        <v>1.9749024510637971</v>
      </c>
      <c r="C23" s="41">
        <f t="shared" ca="1" si="2"/>
        <v>3.2489374141871878</v>
      </c>
      <c r="D23" s="41">
        <f t="shared" ca="1" si="3"/>
        <v>-58.570009510187305</v>
      </c>
      <c r="E23" s="42">
        <f t="shared" ca="1" si="4"/>
        <v>-0.24098450074780242</v>
      </c>
      <c r="F23" s="42">
        <v>0.5</v>
      </c>
      <c r="G23" s="43">
        <f t="shared" ca="1" si="5"/>
        <v>1.8544102006898959</v>
      </c>
      <c r="H23" s="42">
        <f t="shared" ca="1" si="6"/>
        <v>-0.53571202002893159</v>
      </c>
      <c r="I23" s="42">
        <v>0.5</v>
      </c>
      <c r="J23" s="43">
        <f t="shared" ca="1" si="7"/>
        <v>2.981081404172722</v>
      </c>
      <c r="K23" s="43">
        <f t="shared" ca="1" si="8"/>
        <v>-56.155335808770332</v>
      </c>
      <c r="L23" s="42">
        <f t="shared" si="0"/>
        <v>9.8477090218361235E-2</v>
      </c>
      <c r="M23" s="42">
        <f ca="1">K23-D23</f>
        <v>2.414673701416973</v>
      </c>
      <c r="N23" s="42">
        <f t="shared" ca="1" si="9"/>
        <v>24.520156881795767</v>
      </c>
      <c r="O23" s="42">
        <f ca="1">IF(M23&lt;0,1,EXP(-N23))</f>
        <v>2.2440429808168875E-11</v>
      </c>
      <c r="P23" s="42">
        <f t="shared" ca="1" si="11"/>
        <v>0.3340568976861511</v>
      </c>
      <c r="Q23" s="44">
        <f ca="1">IF(M23&lt;0,G23,IF(P23&lt;O23,G23,B23))</f>
        <v>1.9749024510637971</v>
      </c>
      <c r="R23" s="44">
        <f ca="1">IF(N23&lt;0,J23,IF(P23&lt;O23,J23,C23))</f>
        <v>3.2489374141871878</v>
      </c>
      <c r="S23" s="44">
        <f t="shared" ca="1" si="12"/>
        <v>-58.570009510187305</v>
      </c>
    </row>
    <row r="24" spans="1:19" x14ac:dyDescent="0.4">
      <c r="A24" s="42">
        <v>23</v>
      </c>
      <c r="B24" s="41">
        <f t="shared" ca="1" si="1"/>
        <v>1.9749024510637971</v>
      </c>
      <c r="C24" s="41">
        <f t="shared" ca="1" si="2"/>
        <v>3.2489374141871878</v>
      </c>
      <c r="D24" s="41">
        <f t="shared" ca="1" si="3"/>
        <v>-58.570009510187305</v>
      </c>
      <c r="E24" s="42">
        <f t="shared" ca="1" si="4"/>
        <v>0.48211830750823936</v>
      </c>
      <c r="F24" s="42">
        <v>0.5</v>
      </c>
      <c r="G24" s="43">
        <f t="shared" ca="1" si="5"/>
        <v>2.2159616048179167</v>
      </c>
      <c r="H24" s="42">
        <f t="shared" ca="1" si="6"/>
        <v>-0.58113211254685315</v>
      </c>
      <c r="I24" s="42">
        <v>0.5</v>
      </c>
      <c r="J24" s="43">
        <f t="shared" ca="1" si="7"/>
        <v>2.9583713579137614</v>
      </c>
      <c r="K24" s="43">
        <f t="shared" ca="1" si="8"/>
        <v>-60.37491938703063</v>
      </c>
      <c r="L24" s="42">
        <f t="shared" si="0"/>
        <v>8.8629381196525109E-2</v>
      </c>
      <c r="M24" s="42">
        <f ca="1">K24-D24</f>
        <v>-1.8049098768433254</v>
      </c>
      <c r="N24" s="42">
        <f t="shared" ca="1" si="9"/>
        <v>-20.364690043825902</v>
      </c>
      <c r="O24" s="42">
        <f ca="1">IF(M24&lt;0,1,EXP(-N24))</f>
        <v>1</v>
      </c>
      <c r="P24" s="42">
        <f t="shared" ca="1" si="11"/>
        <v>0.34005910506846815</v>
      </c>
      <c r="Q24" s="44">
        <f ca="1">IF(M24&lt;0,G24,IF(P24&lt;O24,G24,B24))</f>
        <v>2.2159616048179167</v>
      </c>
      <c r="R24" s="44">
        <f ca="1">IF(N24&lt;0,J24,IF(P24&lt;O24,J24,C24))</f>
        <v>2.9583713579137614</v>
      </c>
      <c r="S24" s="44">
        <f t="shared" ca="1" si="12"/>
        <v>-60.37491938703063</v>
      </c>
    </row>
    <row r="25" spans="1:19" x14ac:dyDescent="0.4">
      <c r="A25" s="42">
        <v>24</v>
      </c>
      <c r="B25" s="41">
        <f t="shared" ca="1" si="1"/>
        <v>2.2159616048179167</v>
      </c>
      <c r="C25" s="41">
        <f t="shared" ca="1" si="2"/>
        <v>2.9583713579137614</v>
      </c>
      <c r="D25" s="41">
        <f t="shared" ca="1" si="3"/>
        <v>-60.37491938703063</v>
      </c>
      <c r="E25" s="42">
        <f t="shared" ca="1" si="4"/>
        <v>4.3644920677512911E-2</v>
      </c>
      <c r="F25" s="42">
        <v>0.5</v>
      </c>
      <c r="G25" s="43">
        <f t="shared" ca="1" si="5"/>
        <v>2.2377840651566734</v>
      </c>
      <c r="H25" s="42">
        <f t="shared" ca="1" si="6"/>
        <v>0.69132165007883883</v>
      </c>
      <c r="I25" s="42">
        <v>0.5</v>
      </c>
      <c r="J25" s="43">
        <f t="shared" ca="1" si="7"/>
        <v>3.3040321829531809</v>
      </c>
      <c r="K25" s="43">
        <f t="shared" ca="1" si="8"/>
        <v>-61.828125115507817</v>
      </c>
      <c r="L25" s="42">
        <f t="shared" si="0"/>
        <v>7.9766443076872598E-2</v>
      </c>
      <c r="M25" s="42">
        <f ca="1">K25-D25</f>
        <v>-1.4532057284771867</v>
      </c>
      <c r="N25" s="42">
        <f t="shared" ca="1" si="9"/>
        <v>-18.218259112753739</v>
      </c>
      <c r="O25" s="42">
        <f t="shared" ca="1" si="10"/>
        <v>1</v>
      </c>
      <c r="P25" s="42">
        <f t="shared" ca="1" si="11"/>
        <v>0.82426400967255542</v>
      </c>
      <c r="Q25" s="44">
        <f ca="1">IF(M25&lt;0,G25,IF(P25&lt;O25,G25,B25))</f>
        <v>2.2377840651566734</v>
      </c>
      <c r="R25" s="44">
        <f ca="1">IF(N25&lt;0,J25,IF(P25&lt;O25,J25,C25))</f>
        <v>3.3040321829531809</v>
      </c>
      <c r="S25" s="44">
        <f t="shared" ca="1" si="12"/>
        <v>-61.828125115507817</v>
      </c>
    </row>
    <row r="26" spans="1:19" x14ac:dyDescent="0.4">
      <c r="A26" s="42">
        <v>25</v>
      </c>
      <c r="B26" s="41">
        <f t="shared" ca="1" si="1"/>
        <v>2.2377840651566734</v>
      </c>
      <c r="C26" s="41">
        <f t="shared" ca="1" si="2"/>
        <v>3.3040321829531809</v>
      </c>
      <c r="D26" s="41">
        <f t="shared" ca="1" si="3"/>
        <v>-61.828125115507817</v>
      </c>
      <c r="E26" s="42">
        <f t="shared" ca="1" si="4"/>
        <v>-0.89453070639015397</v>
      </c>
      <c r="F26" s="42">
        <v>0.5</v>
      </c>
      <c r="G26" s="43">
        <f t="shared" ca="1" si="5"/>
        <v>1.7905187119615964</v>
      </c>
      <c r="H26" s="42">
        <f t="shared" ca="1" si="6"/>
        <v>-0.55551996204736342</v>
      </c>
      <c r="I26" s="42">
        <v>0.5</v>
      </c>
      <c r="J26" s="43">
        <f t="shared" ca="1" si="7"/>
        <v>3.0262722019294994</v>
      </c>
      <c r="K26" s="43">
        <f t="shared" ca="1" si="8"/>
        <v>-55.546050484030474</v>
      </c>
      <c r="L26" s="42">
        <f t="shared" si="0"/>
        <v>7.1789798769185342E-2</v>
      </c>
      <c r="M26" s="42">
        <f ca="1">K26-D26</f>
        <v>6.282074631477343</v>
      </c>
      <c r="N26" s="42">
        <f t="shared" ca="1" si="9"/>
        <v>87.506508434090023</v>
      </c>
      <c r="O26" s="42">
        <f t="shared" ca="1" si="10"/>
        <v>9.9175924243048794E-39</v>
      </c>
      <c r="P26" s="42">
        <f t="shared" ca="1" si="11"/>
        <v>0.46170245137071841</v>
      </c>
      <c r="Q26" s="44">
        <f ca="1">IF(M26&lt;0,G26,IF(P26&lt;O26,G26,B26))</f>
        <v>2.2377840651566734</v>
      </c>
      <c r="R26" s="44">
        <f ca="1">IF(N26&lt;0,J26,IF(P26&lt;O26,J26,C26))</f>
        <v>3.3040321829531809</v>
      </c>
      <c r="S26" s="44">
        <f t="shared" ca="1" si="12"/>
        <v>-61.828125115507817</v>
      </c>
    </row>
    <row r="27" spans="1:19" x14ac:dyDescent="0.4">
      <c r="A27" s="42">
        <v>26</v>
      </c>
      <c r="B27" s="41">
        <f t="shared" ca="1" si="1"/>
        <v>2.2377840651566734</v>
      </c>
      <c r="C27" s="41">
        <f t="shared" ca="1" si="2"/>
        <v>3.3040321829531809</v>
      </c>
      <c r="D27" s="41">
        <f t="shared" ca="1" si="3"/>
        <v>-61.828125115507817</v>
      </c>
      <c r="E27" s="42">
        <f t="shared" ca="1" si="4"/>
        <v>0.75142820598814186</v>
      </c>
      <c r="F27" s="42">
        <v>0.5</v>
      </c>
      <c r="G27" s="43">
        <f t="shared" ca="1" si="5"/>
        <v>2.6134981681507443</v>
      </c>
      <c r="H27" s="42">
        <f t="shared" ca="1" si="6"/>
        <v>0.62818579366532035</v>
      </c>
      <c r="I27" s="42">
        <v>0.5</v>
      </c>
      <c r="J27" s="43">
        <f t="shared" ca="1" si="7"/>
        <v>3.6181250797858411</v>
      </c>
      <c r="K27" s="43">
        <f t="shared" ca="1" si="8"/>
        <v>-66.693941106107474</v>
      </c>
      <c r="L27" s="42">
        <f t="shared" si="0"/>
        <v>6.4610818892266816E-2</v>
      </c>
      <c r="M27" s="42">
        <f ca="1">K27-D27</f>
        <v>-4.865815990599657</v>
      </c>
      <c r="N27" s="42">
        <f t="shared" ca="1" si="9"/>
        <v>-75.30961647016116</v>
      </c>
      <c r="O27" s="42">
        <f t="shared" ca="1" si="10"/>
        <v>1</v>
      </c>
      <c r="P27" s="42">
        <f t="shared" ca="1" si="11"/>
        <v>0.23163280702889755</v>
      </c>
      <c r="Q27" s="44">
        <f ca="1">IF(M27&lt;0,G27,IF(P27&lt;O27,G27,B27))</f>
        <v>2.6134981681507443</v>
      </c>
      <c r="R27" s="44">
        <f ca="1">IF(N27&lt;0,J27,IF(P27&lt;O27,J27,C27))</f>
        <v>3.6181250797858411</v>
      </c>
      <c r="S27" s="44">
        <f t="shared" ca="1" si="12"/>
        <v>-66.693941106107474</v>
      </c>
    </row>
    <row r="28" spans="1:19" x14ac:dyDescent="0.4">
      <c r="A28" s="42">
        <v>27</v>
      </c>
      <c r="B28" s="41">
        <f t="shared" ca="1" si="1"/>
        <v>2.6134981681507443</v>
      </c>
      <c r="C28" s="41">
        <f t="shared" ca="1" si="2"/>
        <v>3.6181250797858411</v>
      </c>
      <c r="D28" s="41">
        <f t="shared" ca="1" si="3"/>
        <v>-66.693941106107474</v>
      </c>
      <c r="E28" s="42">
        <f t="shared" ca="1" si="4"/>
        <v>0.54283735418502621</v>
      </c>
      <c r="F28" s="42">
        <v>0.5</v>
      </c>
      <c r="G28" s="43">
        <f t="shared" ca="1" si="5"/>
        <v>2.8849168452432572</v>
      </c>
      <c r="H28" s="42">
        <f t="shared" ca="1" si="6"/>
        <v>-0.1649994528001264</v>
      </c>
      <c r="I28" s="42">
        <v>0.5</v>
      </c>
      <c r="J28" s="43">
        <f t="shared" ca="1" si="7"/>
        <v>3.535625353385778</v>
      </c>
      <c r="K28" s="43">
        <f t="shared" ca="1" si="8"/>
        <v>-69.404636695087646</v>
      </c>
      <c r="L28" s="42">
        <f t="shared" si="0"/>
        <v>5.8149737003040138E-2</v>
      </c>
      <c r="M28" s="42">
        <f ca="1">K28-D28</f>
        <v>-2.7106955889801725</v>
      </c>
      <c r="N28" s="42">
        <f t="shared" ca="1" si="9"/>
        <v>-46.615784158034181</v>
      </c>
      <c r="O28" s="42">
        <f t="shared" ca="1" si="10"/>
        <v>1</v>
      </c>
      <c r="P28" s="42">
        <f t="shared" ca="1" si="11"/>
        <v>0.38238987761421261</v>
      </c>
      <c r="Q28" s="44">
        <f ca="1">IF(M28&lt;0,G28,IF(P28&lt;O28,G28,B28))</f>
        <v>2.8849168452432572</v>
      </c>
      <c r="R28" s="44">
        <f ca="1">IF(N28&lt;0,J28,IF(P28&lt;O28,J28,C28))</f>
        <v>3.535625353385778</v>
      </c>
      <c r="S28" s="44">
        <f t="shared" ca="1" si="12"/>
        <v>-69.404636695087646</v>
      </c>
    </row>
    <row r="29" spans="1:19" x14ac:dyDescent="0.4">
      <c r="A29" s="42">
        <v>28</v>
      </c>
      <c r="B29" s="41">
        <f t="shared" ca="1" si="1"/>
        <v>2.8849168452432572</v>
      </c>
      <c r="C29" s="41">
        <f t="shared" ca="1" si="2"/>
        <v>3.535625353385778</v>
      </c>
      <c r="D29" s="41">
        <f t="shared" ca="1" si="3"/>
        <v>-69.404636695087646</v>
      </c>
      <c r="E29" s="42">
        <f t="shared" ca="1" si="4"/>
        <v>-0.70628097928057176</v>
      </c>
      <c r="F29" s="42">
        <v>0.5</v>
      </c>
      <c r="G29" s="43">
        <f t="shared" ca="1" si="5"/>
        <v>2.5317763556029713</v>
      </c>
      <c r="H29" s="42">
        <f t="shared" ca="1" si="6"/>
        <v>-0.18463225692517993</v>
      </c>
      <c r="I29" s="42">
        <v>0.5</v>
      </c>
      <c r="J29" s="43">
        <f t="shared" ca="1" si="7"/>
        <v>3.4433092249231878</v>
      </c>
      <c r="K29" s="43">
        <f t="shared" ca="1" si="8"/>
        <v>-65.478720936746043</v>
      </c>
      <c r="L29" s="42">
        <f t="shared" si="0"/>
        <v>5.2334763302736127E-2</v>
      </c>
      <c r="M29" s="42">
        <f ca="1">K29-D29</f>
        <v>3.9259157583416027</v>
      </c>
      <c r="N29" s="42">
        <f t="shared" ca="1" si="9"/>
        <v>75.015448825701498</v>
      </c>
      <c r="O29" s="42">
        <f t="shared" ca="1" si="10"/>
        <v>2.6375731766059009E-33</v>
      </c>
      <c r="P29" s="42">
        <f t="shared" ca="1" si="11"/>
        <v>0.28857548120544174</v>
      </c>
      <c r="Q29" s="44">
        <f ca="1">IF(M29&lt;0,G29,IF(P29&lt;O29,G29,B29))</f>
        <v>2.8849168452432572</v>
      </c>
      <c r="R29" s="44">
        <f ca="1">IF(N29&lt;0,J29,IF(P29&lt;O29,J29,C29))</f>
        <v>3.535625353385778</v>
      </c>
      <c r="S29" s="44">
        <f t="shared" ca="1" si="12"/>
        <v>-69.404636695087646</v>
      </c>
    </row>
    <row r="30" spans="1:19" x14ac:dyDescent="0.4">
      <c r="A30" s="42">
        <v>29</v>
      </c>
      <c r="B30" s="41">
        <f t="shared" ca="1" si="1"/>
        <v>2.8849168452432572</v>
      </c>
      <c r="C30" s="41">
        <f t="shared" ca="1" si="2"/>
        <v>3.535625353385778</v>
      </c>
      <c r="D30" s="41">
        <f t="shared" ca="1" si="3"/>
        <v>-69.404636695087646</v>
      </c>
      <c r="E30" s="42">
        <f t="shared" ca="1" si="4"/>
        <v>0.49516244597102577</v>
      </c>
      <c r="F30" s="42">
        <v>0.5</v>
      </c>
      <c r="G30" s="43">
        <f t="shared" ca="1" si="5"/>
        <v>3.1324980682287702</v>
      </c>
      <c r="H30" s="42">
        <f t="shared" ca="1" si="6"/>
        <v>0.92494810341657141</v>
      </c>
      <c r="I30" s="42">
        <v>0.5</v>
      </c>
      <c r="J30" s="43">
        <f t="shared" ca="1" si="7"/>
        <v>3.9980994050940639</v>
      </c>
      <c r="K30" s="43">
        <f t="shared" ca="1" si="8"/>
        <v>-72.307417719681354</v>
      </c>
      <c r="L30" s="42">
        <f t="shared" si="0"/>
        <v>4.7101286972462519E-2</v>
      </c>
      <c r="M30" s="42">
        <f ca="1">K30-D30</f>
        <v>-2.9027810245937076</v>
      </c>
      <c r="N30" s="42">
        <f t="shared" ca="1" si="9"/>
        <v>-61.628486420993141</v>
      </c>
      <c r="O30" s="42">
        <f t="shared" ca="1" si="10"/>
        <v>1</v>
      </c>
      <c r="P30" s="42">
        <f t="shared" ca="1" si="11"/>
        <v>0.32442256270962688</v>
      </c>
      <c r="Q30" s="44">
        <f ca="1">IF(M30&lt;0,G30,IF(P30&lt;O30,G30,B30))</f>
        <v>3.1324980682287702</v>
      </c>
      <c r="R30" s="44">
        <f ca="1">IF(N30&lt;0,J30,IF(P30&lt;O30,J30,C30))</f>
        <v>3.9980994050940639</v>
      </c>
      <c r="S30" s="44">
        <f t="shared" ca="1" si="12"/>
        <v>-72.307417719681354</v>
      </c>
    </row>
    <row r="31" spans="1:19" x14ac:dyDescent="0.4">
      <c r="A31" s="42">
        <v>30</v>
      </c>
      <c r="B31" s="41">
        <f t="shared" ca="1" si="1"/>
        <v>3.1324980682287702</v>
      </c>
      <c r="C31" s="41">
        <f t="shared" ca="1" si="2"/>
        <v>3.9980994050940639</v>
      </c>
      <c r="D31" s="41">
        <f t="shared" ca="1" si="3"/>
        <v>-72.307417719681354</v>
      </c>
      <c r="E31" s="42">
        <f t="shared" ca="1" si="4"/>
        <v>-3.7289321372960593E-2</v>
      </c>
      <c r="F31" s="42">
        <v>0.5</v>
      </c>
      <c r="G31" s="43">
        <f t="shared" ca="1" si="5"/>
        <v>3.1138534075422899</v>
      </c>
      <c r="H31" s="42">
        <f t="shared" ca="1" si="6"/>
        <v>0.31415516191506643</v>
      </c>
      <c r="I31" s="42">
        <v>0.5</v>
      </c>
      <c r="J31" s="43">
        <f t="shared" ca="1" si="7"/>
        <v>4.1551769860515968</v>
      </c>
      <c r="K31" s="43">
        <f t="shared" ca="1" si="8"/>
        <v>-72.077411683013793</v>
      </c>
      <c r="L31" s="42">
        <f t="shared" si="0"/>
        <v>4.2391158275216265E-2</v>
      </c>
      <c r="M31" s="42">
        <f ca="1">K31-D31</f>
        <v>0.23000603666756092</v>
      </c>
      <c r="N31" s="42">
        <f t="shared" ca="1" si="9"/>
        <v>5.4258021253935063</v>
      </c>
      <c r="O31" s="42">
        <f t="shared" ca="1" si="10"/>
        <v>4.4015341631222366E-3</v>
      </c>
      <c r="P31" s="42">
        <f t="shared" ca="1" si="11"/>
        <v>9.2416694829215773E-2</v>
      </c>
      <c r="Q31" s="44">
        <f ca="1">IF(M31&lt;0,G31,IF(P31&lt;O31,G31,B31))</f>
        <v>3.1324980682287702</v>
      </c>
      <c r="R31" s="44">
        <f ca="1">IF(N31&lt;0,J31,IF(P31&lt;O31,J31,C31))</f>
        <v>3.9980994050940639</v>
      </c>
      <c r="S31" s="44">
        <f t="shared" ca="1" si="12"/>
        <v>-72.307417719681354</v>
      </c>
    </row>
    <row r="32" spans="1:19" x14ac:dyDescent="0.4">
      <c r="A32" s="42">
        <v>31</v>
      </c>
      <c r="B32" s="41">
        <f t="shared" ca="1" si="1"/>
        <v>3.1324980682287702</v>
      </c>
      <c r="C32" s="41">
        <f t="shared" ca="1" si="2"/>
        <v>3.9980994050940639</v>
      </c>
      <c r="D32" s="41">
        <f t="shared" ca="1" si="3"/>
        <v>-72.307417719681354</v>
      </c>
      <c r="E32" s="42">
        <f t="shared" ca="1" si="4"/>
        <v>0.72581802741492707</v>
      </c>
      <c r="F32" s="42">
        <v>0.5</v>
      </c>
      <c r="G32" s="43">
        <f t="shared" ca="1" si="5"/>
        <v>3.495407081936234</v>
      </c>
      <c r="H32" s="42">
        <f t="shared" ca="1" si="6"/>
        <v>-0.28687179757853132</v>
      </c>
      <c r="I32" s="42">
        <v>0.5</v>
      </c>
      <c r="J32" s="43">
        <f t="shared" ca="1" si="7"/>
        <v>3.8546635063047985</v>
      </c>
      <c r="K32" s="43">
        <f t="shared" ca="1" si="8"/>
        <v>-75.666397249730537</v>
      </c>
      <c r="L32" s="42">
        <f t="shared" si="0"/>
        <v>3.8152042447694635E-2</v>
      </c>
      <c r="M32" s="42">
        <f ca="1">K32-D32</f>
        <v>-3.3589795300491829</v>
      </c>
      <c r="N32" s="42">
        <f t="shared" ca="1" si="9"/>
        <v>-88.041932084088245</v>
      </c>
      <c r="O32" s="42">
        <f t="shared" ca="1" si="10"/>
        <v>1</v>
      </c>
      <c r="P32" s="42">
        <f t="shared" ca="1" si="11"/>
        <v>0.65686628785759993</v>
      </c>
      <c r="Q32" s="44">
        <f ca="1">IF(M32&lt;0,G32,IF(P32&lt;O32,G32,B32))</f>
        <v>3.495407081936234</v>
      </c>
      <c r="R32" s="44">
        <f ca="1">IF(N32&lt;0,J32,IF(P32&lt;O32,J32,C32))</f>
        <v>3.8546635063047985</v>
      </c>
      <c r="S32" s="44">
        <f t="shared" ca="1" si="12"/>
        <v>-75.666397249730537</v>
      </c>
    </row>
    <row r="33" spans="1:19" x14ac:dyDescent="0.4">
      <c r="A33" s="42">
        <v>32</v>
      </c>
      <c r="B33" s="41">
        <f t="shared" ca="1" si="1"/>
        <v>3.495407081936234</v>
      </c>
      <c r="C33" s="41">
        <f t="shared" ca="1" si="2"/>
        <v>3.8546635063047985</v>
      </c>
      <c r="D33" s="41">
        <f t="shared" ca="1" si="3"/>
        <v>-75.666397249730537</v>
      </c>
      <c r="E33" s="42">
        <f t="shared" ca="1" si="4"/>
        <v>-4.9454117625277627E-2</v>
      </c>
      <c r="F33" s="42">
        <v>0.5</v>
      </c>
      <c r="G33" s="43">
        <f t="shared" ca="1" si="5"/>
        <v>3.4706800231235952</v>
      </c>
      <c r="H33" s="42">
        <f t="shared" ca="1" si="6"/>
        <v>-0.14714976331371243</v>
      </c>
      <c r="I33" s="42">
        <v>0.5</v>
      </c>
      <c r="J33" s="43">
        <f t="shared" ca="1" si="7"/>
        <v>3.7810886246479423</v>
      </c>
      <c r="K33" s="43">
        <f t="shared" ca="1" si="8"/>
        <v>-75.389416166551257</v>
      </c>
      <c r="L33" s="42">
        <f t="shared" si="0"/>
        <v>3.4336838202925178E-2</v>
      </c>
      <c r="M33" s="42">
        <f ca="1">K33-D33</f>
        <v>0.27698108317927961</v>
      </c>
      <c r="N33" s="42">
        <f t="shared" ca="1" si="9"/>
        <v>8.0665867236338435</v>
      </c>
      <c r="O33" s="42">
        <f t="shared" ca="1" si="10"/>
        <v>3.1385272095536311E-4</v>
      </c>
      <c r="P33" s="42">
        <f t="shared" ca="1" si="11"/>
        <v>0.4052643959811838</v>
      </c>
      <c r="Q33" s="44">
        <f ca="1">IF(M33&lt;0,G33,IF(P33&lt;O33,G33,B33))</f>
        <v>3.495407081936234</v>
      </c>
      <c r="R33" s="44">
        <f ca="1">IF(N33&lt;0,J33,IF(P33&lt;O33,J33,C33))</f>
        <v>3.8546635063047985</v>
      </c>
      <c r="S33" s="44">
        <f t="shared" ca="1" si="12"/>
        <v>-75.666397249730537</v>
      </c>
    </row>
    <row r="34" spans="1:19" x14ac:dyDescent="0.4">
      <c r="A34" s="42">
        <v>33</v>
      </c>
      <c r="B34" s="41">
        <f t="shared" ca="1" si="1"/>
        <v>3.495407081936234</v>
      </c>
      <c r="C34" s="41">
        <f t="shared" ca="1" si="2"/>
        <v>3.8546635063047985</v>
      </c>
      <c r="D34" s="41">
        <f t="shared" ca="1" si="3"/>
        <v>-75.666397249730537</v>
      </c>
      <c r="E34" s="42">
        <f t="shared" ca="1" si="4"/>
        <v>0.68607278875600985</v>
      </c>
      <c r="F34" s="42">
        <v>0.5</v>
      </c>
      <c r="G34" s="43">
        <f t="shared" ca="1" si="5"/>
        <v>3.838443476314239</v>
      </c>
      <c r="H34" s="42">
        <f t="shared" ca="1" si="6"/>
        <v>0.62566255574763452</v>
      </c>
      <c r="I34" s="42">
        <v>0.5</v>
      </c>
      <c r="J34" s="43">
        <f t="shared" ca="1" si="7"/>
        <v>4.1674947841786159</v>
      </c>
      <c r="K34" s="43">
        <f t="shared" ca="1" si="8"/>
        <v>-78.625338294714396</v>
      </c>
      <c r="L34" s="42">
        <f t="shared" si="0"/>
        <v>3.090315438263266E-2</v>
      </c>
      <c r="M34" s="42">
        <f ca="1">K34-D34</f>
        <v>-2.9589410449838596</v>
      </c>
      <c r="N34" s="42">
        <f t="shared" ca="1" si="9"/>
        <v>-95.748835486087529</v>
      </c>
      <c r="O34" s="42">
        <f t="shared" ca="1" si="10"/>
        <v>1</v>
      </c>
      <c r="P34" s="42">
        <f t="shared" ca="1" si="11"/>
        <v>0.31826278377907458</v>
      </c>
      <c r="Q34" s="44">
        <f ca="1">IF(M34&lt;0,G34,IF(P34&lt;O34,G34,B34))</f>
        <v>3.838443476314239</v>
      </c>
      <c r="R34" s="44">
        <f ca="1">IF(N34&lt;0,J34,IF(P34&lt;O34,J34,C34))</f>
        <v>4.1674947841786159</v>
      </c>
      <c r="S34" s="44">
        <f t="shared" ca="1" si="12"/>
        <v>-78.625338294714396</v>
      </c>
    </row>
    <row r="35" spans="1:19" x14ac:dyDescent="0.4">
      <c r="A35" s="42">
        <v>34</v>
      </c>
      <c r="B35" s="41">
        <f t="shared" ca="1" si="1"/>
        <v>3.838443476314239</v>
      </c>
      <c r="C35" s="41">
        <f t="shared" ca="1" si="2"/>
        <v>4.1674947841786159</v>
      </c>
      <c r="D35" s="41">
        <f t="shared" ca="1" si="3"/>
        <v>-78.625338294714396</v>
      </c>
      <c r="E35" s="42">
        <f t="shared" ca="1" si="4"/>
        <v>0.80460556499903091</v>
      </c>
      <c r="F35" s="42">
        <v>0.5</v>
      </c>
      <c r="G35" s="43">
        <f t="shared" ca="1" si="5"/>
        <v>4.2407462588137541</v>
      </c>
      <c r="H35" s="42">
        <f t="shared" ca="1" si="6"/>
        <v>-4.4122508763523083E-2</v>
      </c>
      <c r="I35" s="42">
        <v>0.5</v>
      </c>
      <c r="J35" s="43">
        <f t="shared" ca="1" si="7"/>
        <v>4.1454335297968541</v>
      </c>
      <c r="K35" s="43">
        <f t="shared" ca="1" si="8"/>
        <v>-81.825709486198861</v>
      </c>
      <c r="L35" s="42">
        <f t="shared" si="0"/>
        <v>2.7812838944369395E-2</v>
      </c>
      <c r="M35" s="42">
        <f ca="1">K35-D35</f>
        <v>-3.2003711914844644</v>
      </c>
      <c r="N35" s="42">
        <f t="shared" ca="1" si="9"/>
        <v>-115.0681236779091</v>
      </c>
      <c r="O35" s="42">
        <f t="shared" ca="1" si="10"/>
        <v>1</v>
      </c>
      <c r="P35" s="42">
        <f t="shared" ca="1" si="11"/>
        <v>0.14247942724899809</v>
      </c>
      <c r="Q35" s="44">
        <f ca="1">IF(M35&lt;0,G35,IF(P35&lt;O35,G35,B35))</f>
        <v>4.2407462588137541</v>
      </c>
      <c r="R35" s="44">
        <f ca="1">IF(N35&lt;0,J35,IF(P35&lt;O35,J35,C35))</f>
        <v>4.1454335297968541</v>
      </c>
      <c r="S35" s="44">
        <f t="shared" ca="1" si="12"/>
        <v>-81.825709486198861</v>
      </c>
    </row>
    <row r="36" spans="1:19" x14ac:dyDescent="0.4">
      <c r="A36" s="42">
        <v>35</v>
      </c>
      <c r="B36" s="41">
        <f t="shared" ca="1" si="1"/>
        <v>4.2407462588137541</v>
      </c>
      <c r="C36" s="41">
        <f t="shared" ca="1" si="2"/>
        <v>4.1454335297968541</v>
      </c>
      <c r="D36" s="41">
        <f t="shared" ca="1" si="3"/>
        <v>-81.825709486198861</v>
      </c>
      <c r="E36" s="42">
        <f t="shared" ca="1" si="4"/>
        <v>0.7308609572937923</v>
      </c>
      <c r="F36" s="42">
        <v>0.5</v>
      </c>
      <c r="G36" s="43">
        <f t="shared" ca="1" si="5"/>
        <v>4.6061767374606504</v>
      </c>
      <c r="H36" s="42">
        <f t="shared" ca="1" si="6"/>
        <v>-0.68824117361715298</v>
      </c>
      <c r="I36" s="42">
        <v>0.5</v>
      </c>
      <c r="J36" s="43">
        <f t="shared" ca="1" si="7"/>
        <v>3.8013129429882775</v>
      </c>
      <c r="K36" s="43">
        <f t="shared" ca="1" si="8"/>
        <v>-84.403010569398802</v>
      </c>
      <c r="L36" s="42">
        <f t="shared" si="0"/>
        <v>2.5031555049932458E-2</v>
      </c>
      <c r="M36" s="42">
        <f ca="1">K36-D36</f>
        <v>-2.5773010831999414</v>
      </c>
      <c r="N36" s="42">
        <f t="shared" ca="1" si="9"/>
        <v>-102.96208437944792</v>
      </c>
      <c r="O36" s="42">
        <f t="shared" ca="1" si="10"/>
        <v>1</v>
      </c>
      <c r="P36" s="42">
        <f t="shared" ca="1" si="11"/>
        <v>0.21132500898787654</v>
      </c>
      <c r="Q36" s="44">
        <f ca="1">IF(M36&lt;0,G36,IF(P36&lt;O36,G36,B36))</f>
        <v>4.6061767374606504</v>
      </c>
      <c r="R36" s="44">
        <f ca="1">IF(N36&lt;0,J36,IF(P36&lt;O36,J36,C36))</f>
        <v>3.8013129429882775</v>
      </c>
      <c r="S36" s="44">
        <f t="shared" ca="1" si="12"/>
        <v>-84.403010569398802</v>
      </c>
    </row>
    <row r="37" spans="1:19" x14ac:dyDescent="0.4">
      <c r="A37" s="42">
        <v>36</v>
      </c>
      <c r="B37" s="41">
        <f t="shared" ca="1" si="1"/>
        <v>4.6061767374606504</v>
      </c>
      <c r="C37" s="41">
        <f t="shared" ca="1" si="2"/>
        <v>3.8013129429882775</v>
      </c>
      <c r="D37" s="41">
        <f t="shared" ca="1" si="3"/>
        <v>-84.403010569398802</v>
      </c>
      <c r="E37" s="42">
        <f t="shared" ca="1" si="4"/>
        <v>-0.57690795975985232</v>
      </c>
      <c r="F37" s="42">
        <v>0.5</v>
      </c>
      <c r="G37" s="43">
        <f t="shared" ca="1" si="5"/>
        <v>4.3177227575807242</v>
      </c>
      <c r="H37" s="42">
        <f t="shared" ca="1" si="6"/>
        <v>-0.25642093478249173</v>
      </c>
      <c r="I37" s="42">
        <v>0.5</v>
      </c>
      <c r="J37" s="43">
        <f t="shared" ca="1" si="7"/>
        <v>3.6731024755970316</v>
      </c>
      <c r="K37" s="43">
        <f t="shared" ca="1" si="8"/>
        <v>-82.227110327039512</v>
      </c>
      <c r="L37" s="42">
        <f t="shared" si="0"/>
        <v>2.2528399544939213E-2</v>
      </c>
      <c r="M37" s="42">
        <f ca="1">K37-D37</f>
        <v>2.1759002423592904</v>
      </c>
      <c r="N37" s="42">
        <f t="shared" ca="1" si="9"/>
        <v>96.584767951174115</v>
      </c>
      <c r="O37" s="42">
        <f t="shared" ca="1" si="10"/>
        <v>1.1317962298101634E-42</v>
      </c>
      <c r="P37" s="42">
        <f t="shared" ca="1" si="11"/>
        <v>9.2142299615339041E-2</v>
      </c>
      <c r="Q37" s="44">
        <f ca="1">IF(M37&lt;0,G37,IF(P37&lt;O37,G37,B37))</f>
        <v>4.6061767374606504</v>
      </c>
      <c r="R37" s="44">
        <f ca="1">IF(N37&lt;0,J37,IF(P37&lt;O37,J37,C37))</f>
        <v>3.8013129429882775</v>
      </c>
      <c r="S37" s="44">
        <f t="shared" ca="1" si="12"/>
        <v>-84.403010569398802</v>
      </c>
    </row>
    <row r="38" spans="1:19" x14ac:dyDescent="0.4">
      <c r="A38" s="42">
        <v>37</v>
      </c>
      <c r="B38" s="41">
        <f t="shared" ca="1" si="1"/>
        <v>4.6061767374606504</v>
      </c>
      <c r="C38" s="41">
        <f t="shared" ca="1" si="2"/>
        <v>3.8013129429882775</v>
      </c>
      <c r="D38" s="41">
        <f t="shared" ca="1" si="3"/>
        <v>-84.403010569398802</v>
      </c>
      <c r="E38" s="42">
        <f t="shared" ca="1" si="4"/>
        <v>-0.49202216172239233</v>
      </c>
      <c r="F38" s="42">
        <v>0.5</v>
      </c>
      <c r="G38" s="43">
        <f t="shared" ca="1" si="5"/>
        <v>4.3601656565994542</v>
      </c>
      <c r="H38" s="42">
        <f t="shared" ca="1" si="6"/>
        <v>1.7415982595539559E-2</v>
      </c>
      <c r="I38" s="42">
        <v>0.5</v>
      </c>
      <c r="J38" s="43">
        <f t="shared" ca="1" si="7"/>
        <v>3.8100209342860474</v>
      </c>
      <c r="K38" s="43">
        <f t="shared" ca="1" si="8"/>
        <v>-82.679421861782828</v>
      </c>
      <c r="L38" s="42">
        <f t="shared" si="0"/>
        <v>2.0275559590445295E-2</v>
      </c>
      <c r="M38" s="42">
        <f ca="1">K38-D38</f>
        <v>1.7235887076159742</v>
      </c>
      <c r="N38" s="42">
        <f t="shared" ca="1" si="9"/>
        <v>85.008194221588951</v>
      </c>
      <c r="O38" s="42">
        <f t="shared" ca="1" si="10"/>
        <v>1.2061750284880463E-37</v>
      </c>
      <c r="P38" s="42">
        <f t="shared" ca="1" si="11"/>
        <v>0.72842805356138685</v>
      </c>
      <c r="Q38" s="44">
        <f ca="1">IF(M38&lt;0,G38,IF(P38&lt;O38,G38,B38))</f>
        <v>4.6061767374606504</v>
      </c>
      <c r="R38" s="44">
        <f ca="1">IF(N38&lt;0,J38,IF(P38&lt;O38,J38,C38))</f>
        <v>3.8013129429882775</v>
      </c>
      <c r="S38" s="44">
        <f t="shared" ca="1" si="12"/>
        <v>-84.403010569398802</v>
      </c>
    </row>
    <row r="39" spans="1:19" x14ac:dyDescent="0.4">
      <c r="A39" s="42">
        <v>38</v>
      </c>
      <c r="B39" s="41">
        <f t="shared" ca="1" si="1"/>
        <v>4.6061767374606504</v>
      </c>
      <c r="C39" s="41">
        <f t="shared" ca="1" si="2"/>
        <v>3.8013129429882775</v>
      </c>
      <c r="D39" s="41">
        <f t="shared" ca="1" si="3"/>
        <v>-84.403010569398802</v>
      </c>
      <c r="E39" s="42">
        <f t="shared" ca="1" si="4"/>
        <v>0.83134159567566779</v>
      </c>
      <c r="F39" s="42">
        <v>0.5</v>
      </c>
      <c r="G39" s="43">
        <f t="shared" ca="1" si="5"/>
        <v>5.0218475352984839</v>
      </c>
      <c r="H39" s="42">
        <f t="shared" ca="1" si="6"/>
        <v>0.82911090130748</v>
      </c>
      <c r="I39" s="42">
        <v>0.5</v>
      </c>
      <c r="J39" s="43">
        <f t="shared" ca="1" si="7"/>
        <v>4.2158683936420172</v>
      </c>
      <c r="K39" s="43">
        <f t="shared" ca="1" si="8"/>
        <v>-87.037409570245117</v>
      </c>
      <c r="L39" s="42">
        <f t="shared" si="0"/>
        <v>1.8248003631400764E-2</v>
      </c>
      <c r="M39" s="42">
        <f ca="1">K39-D39</f>
        <v>-2.6343990008463152</v>
      </c>
      <c r="N39" s="42">
        <f t="shared" ca="1" si="9"/>
        <v>-144.3664224350054</v>
      </c>
      <c r="O39" s="42">
        <f t="shared" ca="1" si="10"/>
        <v>1</v>
      </c>
      <c r="P39" s="42">
        <f t="shared" ca="1" si="11"/>
        <v>0.19103322254736366</v>
      </c>
      <c r="Q39" s="44">
        <f ca="1">IF(M39&lt;0,G39,IF(P39&lt;O39,G39,B39))</f>
        <v>5.0218475352984839</v>
      </c>
      <c r="R39" s="44">
        <f ca="1">IF(N39&lt;0,J39,IF(P39&lt;O39,J39,C39))</f>
        <v>4.2158683936420172</v>
      </c>
      <c r="S39" s="44">
        <f t="shared" ca="1" si="12"/>
        <v>-87.037409570245117</v>
      </c>
    </row>
    <row r="40" spans="1:19" x14ac:dyDescent="0.4">
      <c r="A40" s="42">
        <v>39</v>
      </c>
      <c r="B40" s="41">
        <f t="shared" ca="1" si="1"/>
        <v>5.0218475352984839</v>
      </c>
      <c r="C40" s="41">
        <f t="shared" ca="1" si="2"/>
        <v>4.2158683936420172</v>
      </c>
      <c r="D40" s="41">
        <f t="shared" ca="1" si="3"/>
        <v>-87.037409570245117</v>
      </c>
      <c r="E40" s="42">
        <f t="shared" ca="1" si="4"/>
        <v>0.64146423018423859</v>
      </c>
      <c r="F40" s="42">
        <v>0.5</v>
      </c>
      <c r="G40" s="43">
        <f t="shared" ca="1" si="5"/>
        <v>5.3425796503906033</v>
      </c>
      <c r="H40" s="42">
        <f t="shared" ca="1" si="6"/>
        <v>0.4718120370098875</v>
      </c>
      <c r="I40" s="42">
        <v>0.5</v>
      </c>
      <c r="J40" s="43">
        <f t="shared" ca="1" si="7"/>
        <v>4.4517744121469605</v>
      </c>
      <c r="K40" s="43">
        <f t="shared" ca="1" si="8"/>
        <v>-88.529916846540402</v>
      </c>
      <c r="L40" s="42">
        <f t="shared" si="0"/>
        <v>1.6423203268260689E-2</v>
      </c>
      <c r="M40" s="42">
        <f ca="1">K40-D40</f>
        <v>-1.4925072762952851</v>
      </c>
      <c r="N40" s="42">
        <f t="shared" ca="1" si="9"/>
        <v>-90.877964055872653</v>
      </c>
      <c r="O40" s="42">
        <f t="shared" ca="1" si="10"/>
        <v>1</v>
      </c>
      <c r="P40" s="42">
        <f t="shared" ca="1" si="11"/>
        <v>0.15840639059033346</v>
      </c>
      <c r="Q40" s="44">
        <f ca="1">IF(M40&lt;0,G40,IF(P40&lt;O40,G40,B40))</f>
        <v>5.3425796503906033</v>
      </c>
      <c r="R40" s="44">
        <f ca="1">IF(N40&lt;0,J40,IF(P40&lt;O40,J40,C40))</f>
        <v>4.4517744121469605</v>
      </c>
      <c r="S40" s="44">
        <f t="shared" ca="1" si="12"/>
        <v>-88.529916846540402</v>
      </c>
    </row>
    <row r="41" spans="1:19" x14ac:dyDescent="0.4">
      <c r="A41" s="42">
        <v>40</v>
      </c>
      <c r="B41" s="41">
        <f t="shared" ca="1" si="1"/>
        <v>5.3425796503906033</v>
      </c>
      <c r="C41" s="41">
        <f t="shared" ca="1" si="2"/>
        <v>4.4517744121469605</v>
      </c>
      <c r="D41" s="41">
        <f t="shared" ca="1" si="3"/>
        <v>-88.529916846540402</v>
      </c>
      <c r="E41" s="42">
        <f t="shared" ca="1" si="4"/>
        <v>-0.6907106558818954</v>
      </c>
      <c r="F41" s="42">
        <v>0.5</v>
      </c>
      <c r="G41" s="43">
        <f t="shared" ca="1" si="5"/>
        <v>4.9972243224496555</v>
      </c>
      <c r="H41" s="42">
        <f t="shared" ca="1" si="6"/>
        <v>0.17922723794283191</v>
      </c>
      <c r="I41" s="42">
        <v>0.5</v>
      </c>
      <c r="J41" s="43">
        <f t="shared" ca="1" si="7"/>
        <v>4.5413880311183767</v>
      </c>
      <c r="K41" s="43">
        <f t="shared" ca="1" si="8"/>
        <v>-86.39713622983561</v>
      </c>
      <c r="L41" s="42">
        <f t="shared" si="0"/>
        <v>1.478088294143462E-2</v>
      </c>
      <c r="M41" s="42">
        <f ca="1">K41-D41</f>
        <v>2.1327806167047925</v>
      </c>
      <c r="N41" s="42">
        <f t="shared" ca="1" si="9"/>
        <v>144.29318093887744</v>
      </c>
      <c r="O41" s="42">
        <f t="shared" ca="1" si="10"/>
        <v>2.159075065880627E-63</v>
      </c>
      <c r="P41" s="42">
        <f t="shared" ca="1" si="11"/>
        <v>0.75361855019711943</v>
      </c>
      <c r="Q41" s="44">
        <f ca="1">IF(M41&lt;0,G41,IF(P41&lt;O41,G41,B41))</f>
        <v>5.3425796503906033</v>
      </c>
      <c r="R41" s="44">
        <f ca="1">IF(N41&lt;0,J41,IF(P41&lt;O41,J41,C41))</f>
        <v>4.4517744121469605</v>
      </c>
      <c r="S41" s="44">
        <f t="shared" ca="1" si="12"/>
        <v>-88.529916846540402</v>
      </c>
    </row>
    <row r="42" spans="1:19" x14ac:dyDescent="0.4">
      <c r="A42" s="42">
        <v>41</v>
      </c>
      <c r="B42" s="41">
        <f t="shared" ca="1" si="1"/>
        <v>5.3425796503906033</v>
      </c>
      <c r="C42" s="41">
        <f t="shared" ca="1" si="2"/>
        <v>4.4517744121469605</v>
      </c>
      <c r="D42" s="41">
        <f t="shared" ca="1" si="3"/>
        <v>-88.529916846540402</v>
      </c>
      <c r="E42" s="42">
        <f t="shared" ca="1" si="4"/>
        <v>-0.12503234008709652</v>
      </c>
      <c r="F42" s="42">
        <v>0.5</v>
      </c>
      <c r="G42" s="43">
        <f t="shared" ca="1" si="5"/>
        <v>5.2800634803470547</v>
      </c>
      <c r="H42" s="42">
        <f t="shared" ca="1" si="6"/>
        <v>-0.62625960189612773</v>
      </c>
      <c r="I42" s="42">
        <v>0.5</v>
      </c>
      <c r="J42" s="43">
        <f t="shared" ca="1" si="7"/>
        <v>4.138644611198897</v>
      </c>
      <c r="K42" s="43">
        <f t="shared" ca="1" si="8"/>
        <v>-88.563500672629232</v>
      </c>
      <c r="L42" s="42">
        <f t="shared" si="0"/>
        <v>1.3302794647291158E-2</v>
      </c>
      <c r="M42" s="42">
        <f ca="1">K42-D42</f>
        <v>-3.3583826088829483E-2</v>
      </c>
      <c r="N42" s="42">
        <f t="shared" ca="1" si="9"/>
        <v>-2.5245692337036973</v>
      </c>
      <c r="O42" s="42">
        <f t="shared" ca="1" si="10"/>
        <v>1</v>
      </c>
      <c r="P42" s="42">
        <f t="shared" ca="1" si="11"/>
        <v>0.310370642220825</v>
      </c>
      <c r="Q42" s="44">
        <f ca="1">IF(M42&lt;0,G42,IF(P42&lt;O42,G42,B42))</f>
        <v>5.2800634803470547</v>
      </c>
      <c r="R42" s="44">
        <f ca="1">IF(N42&lt;0,J42,IF(P42&lt;O42,J42,C42))</f>
        <v>4.138644611198897</v>
      </c>
      <c r="S42" s="44">
        <f t="shared" ca="1" si="12"/>
        <v>-88.563500672629232</v>
      </c>
    </row>
    <row r="43" spans="1:19" x14ac:dyDescent="0.4">
      <c r="A43" s="42">
        <v>42</v>
      </c>
      <c r="B43" s="41">
        <f t="shared" ca="1" si="1"/>
        <v>5.2800634803470547</v>
      </c>
      <c r="C43" s="41">
        <f t="shared" ca="1" si="2"/>
        <v>4.138644611198897</v>
      </c>
      <c r="D43" s="41">
        <f t="shared" ca="1" si="3"/>
        <v>-88.563500672629232</v>
      </c>
      <c r="E43" s="42">
        <f t="shared" ca="1" si="4"/>
        <v>6.630167116303376E-2</v>
      </c>
      <c r="F43" s="42">
        <v>0.5</v>
      </c>
      <c r="G43" s="43">
        <f t="shared" ca="1" si="5"/>
        <v>5.3132143159285716</v>
      </c>
      <c r="H43" s="42">
        <f t="shared" ca="1" si="6"/>
        <v>-0.63816937489839809</v>
      </c>
      <c r="I43" s="42">
        <v>0.5</v>
      </c>
      <c r="J43" s="43">
        <f t="shared" ca="1" si="7"/>
        <v>3.819559923749698</v>
      </c>
      <c r="K43" s="43">
        <f t="shared" ca="1" si="8"/>
        <v>-88.716065445634399</v>
      </c>
      <c r="L43" s="42">
        <f t="shared" si="0"/>
        <v>1.1972515182562043E-2</v>
      </c>
      <c r="M43" s="42">
        <f ca="1">K43-D43</f>
        <v>-0.15256477300516735</v>
      </c>
      <c r="N43" s="42">
        <f t="shared" ca="1" si="9"/>
        <v>-12.742917480478772</v>
      </c>
      <c r="O43" s="42">
        <f t="shared" ca="1" si="10"/>
        <v>1</v>
      </c>
      <c r="P43" s="42">
        <f t="shared" ca="1" si="11"/>
        <v>0.99989658360423639</v>
      </c>
      <c r="Q43" s="44">
        <f ca="1">IF(M43&lt;0,G43,IF(P43&lt;O43,G43,B43))</f>
        <v>5.3132143159285716</v>
      </c>
      <c r="R43" s="44">
        <f ca="1">IF(N43&lt;0,J43,IF(P43&lt;O43,J43,C43))</f>
        <v>3.819559923749698</v>
      </c>
      <c r="S43" s="44">
        <f t="shared" ca="1" si="12"/>
        <v>-88.716065445634399</v>
      </c>
    </row>
    <row r="44" spans="1:19" x14ac:dyDescent="0.4">
      <c r="A44" s="42">
        <v>43</v>
      </c>
      <c r="B44" s="41">
        <f t="shared" ca="1" si="1"/>
        <v>5.3132143159285716</v>
      </c>
      <c r="C44" s="41">
        <f t="shared" ca="1" si="2"/>
        <v>3.819559923749698</v>
      </c>
      <c r="D44" s="41">
        <f t="shared" ca="1" si="3"/>
        <v>-88.716065445634399</v>
      </c>
      <c r="E44" s="42">
        <f t="shared" ca="1" si="4"/>
        <v>-0.71699771345932994</v>
      </c>
      <c r="F44" s="42">
        <v>0.5</v>
      </c>
      <c r="G44" s="43">
        <f t="shared" ca="1" si="5"/>
        <v>4.9547154591989067</v>
      </c>
      <c r="H44" s="42">
        <f t="shared" ca="1" si="6"/>
        <v>0.55794647920941332</v>
      </c>
      <c r="I44" s="42">
        <v>0.5</v>
      </c>
      <c r="J44" s="43">
        <f t="shared" ca="1" si="7"/>
        <v>4.0985331633544044</v>
      </c>
      <c r="K44" s="43">
        <f t="shared" ca="1" si="8"/>
        <v>-86.706824496996617</v>
      </c>
      <c r="L44" s="42">
        <f t="shared" si="0"/>
        <v>1.077526366430584E-2</v>
      </c>
      <c r="M44" s="42">
        <f ca="1">K44-D44</f>
        <v>2.0092409486377818</v>
      </c>
      <c r="N44" s="42">
        <f t="shared" ca="1" si="9"/>
        <v>186.46791496096725</v>
      </c>
      <c r="O44" s="42">
        <f t="shared" ca="1" si="10"/>
        <v>1.0423497832997751E-81</v>
      </c>
      <c r="P44" s="42">
        <f t="shared" ca="1" si="11"/>
        <v>8.9639772749303681E-2</v>
      </c>
      <c r="Q44" s="44">
        <f ca="1">IF(M44&lt;0,G44,IF(P44&lt;O44,G44,B44))</f>
        <v>5.3132143159285716</v>
      </c>
      <c r="R44" s="44">
        <f ca="1">IF(N44&lt;0,J44,IF(P44&lt;O44,J44,C44))</f>
        <v>3.819559923749698</v>
      </c>
      <c r="S44" s="44">
        <f t="shared" ca="1" si="12"/>
        <v>-88.716065445634399</v>
      </c>
    </row>
    <row r="45" spans="1:19" x14ac:dyDescent="0.4">
      <c r="A45" s="42">
        <v>44</v>
      </c>
      <c r="B45" s="41">
        <f t="shared" ca="1" si="1"/>
        <v>5.3132143159285716</v>
      </c>
      <c r="C45" s="41">
        <f t="shared" ca="1" si="2"/>
        <v>3.819559923749698</v>
      </c>
      <c r="D45" s="41">
        <f t="shared" ca="1" si="3"/>
        <v>-88.716065445634399</v>
      </c>
      <c r="E45" s="42">
        <f t="shared" ca="1" si="4"/>
        <v>-0.526551075298344</v>
      </c>
      <c r="F45" s="42">
        <v>0.5</v>
      </c>
      <c r="G45" s="43">
        <f t="shared" ca="1" si="5"/>
        <v>5.0499387782793992</v>
      </c>
      <c r="H45" s="42">
        <f t="shared" ca="1" si="6"/>
        <v>-0.5002119942540586</v>
      </c>
      <c r="I45" s="42">
        <v>0.5</v>
      </c>
      <c r="J45" s="43">
        <f t="shared" ca="1" si="7"/>
        <v>3.5694539266226686</v>
      </c>
      <c r="K45" s="43">
        <f t="shared" ca="1" si="8"/>
        <v>-86.926398945499074</v>
      </c>
      <c r="L45" s="42">
        <f t="shared" si="0"/>
        <v>9.6977372978752571E-3</v>
      </c>
      <c r="M45" s="42">
        <f ca="1">K45-D45</f>
        <v>1.7896665001353256</v>
      </c>
      <c r="N45" s="42">
        <f t="shared" ca="1" si="9"/>
        <v>184.54474947753386</v>
      </c>
      <c r="O45" s="42">
        <f t="shared" ca="1" si="10"/>
        <v>7.1323662731433012E-81</v>
      </c>
      <c r="P45" s="42">
        <f t="shared" ca="1" si="11"/>
        <v>0.52676594108416219</v>
      </c>
      <c r="Q45" s="44">
        <f ca="1">IF(M45&lt;0,G45,IF(P45&lt;O45,G45,B45))</f>
        <v>5.3132143159285716</v>
      </c>
      <c r="R45" s="44">
        <f ca="1">IF(N45&lt;0,J45,IF(P45&lt;O45,J45,C45))</f>
        <v>3.819559923749698</v>
      </c>
      <c r="S45" s="44">
        <f t="shared" ca="1" si="12"/>
        <v>-88.716065445634399</v>
      </c>
    </row>
    <row r="46" spans="1:19" x14ac:dyDescent="0.4">
      <c r="A46" s="42">
        <v>45</v>
      </c>
      <c r="B46" s="41">
        <f t="shared" ca="1" si="1"/>
        <v>5.3132143159285716</v>
      </c>
      <c r="C46" s="41">
        <f t="shared" ca="1" si="2"/>
        <v>3.819559923749698</v>
      </c>
      <c r="D46" s="41">
        <f t="shared" ca="1" si="3"/>
        <v>-88.716065445634399</v>
      </c>
      <c r="E46" s="42">
        <f t="shared" ca="1" si="4"/>
        <v>0.12811194188800146</v>
      </c>
      <c r="F46" s="42">
        <v>0.5</v>
      </c>
      <c r="G46" s="43">
        <f t="shared" ca="1" si="5"/>
        <v>5.3772702868725721</v>
      </c>
      <c r="H46" s="42">
        <f t="shared" ca="1" si="6"/>
        <v>-0.51283509449800291</v>
      </c>
      <c r="I46" s="42">
        <v>0.5</v>
      </c>
      <c r="J46" s="43">
        <f t="shared" ca="1" si="7"/>
        <v>3.5631423765006964</v>
      </c>
      <c r="K46" s="43">
        <f t="shared" ca="1" si="8"/>
        <v>-88.739599685459595</v>
      </c>
      <c r="L46" s="42">
        <f t="shared" si="0"/>
        <v>8.7279635680877331E-3</v>
      </c>
      <c r="M46" s="42">
        <f ca="1">K46-D46</f>
        <v>-2.3534239825195868E-2</v>
      </c>
      <c r="N46" s="42">
        <f t="shared" ca="1" si="9"/>
        <v>-2.696418201290927</v>
      </c>
      <c r="O46" s="42">
        <f t="shared" ca="1" si="10"/>
        <v>1</v>
      </c>
      <c r="P46" s="42">
        <f t="shared" ca="1" si="11"/>
        <v>0.26312027505031088</v>
      </c>
      <c r="Q46" s="44">
        <f ca="1">IF(M46&lt;0,G46,IF(P46&lt;O46,G46,B46))</f>
        <v>5.3772702868725721</v>
      </c>
      <c r="R46" s="44">
        <f ca="1">IF(N46&lt;0,J46,IF(P46&lt;O46,J46,C46))</f>
        <v>3.5631423765006964</v>
      </c>
      <c r="S46" s="44">
        <f t="shared" ca="1" si="12"/>
        <v>-88.739599685459595</v>
      </c>
    </row>
    <row r="47" spans="1:19" x14ac:dyDescent="0.4">
      <c r="A47" s="42">
        <v>46</v>
      </c>
      <c r="B47" s="41">
        <f t="shared" ca="1" si="1"/>
        <v>5.3772702868725721</v>
      </c>
      <c r="C47" s="41">
        <f t="shared" ca="1" si="2"/>
        <v>3.5631423765006964</v>
      </c>
      <c r="D47" s="41">
        <f t="shared" ca="1" si="3"/>
        <v>-88.739599685459595</v>
      </c>
      <c r="E47" s="42">
        <f t="shared" ca="1" si="4"/>
        <v>0.71925957744032609</v>
      </c>
      <c r="F47" s="42">
        <v>0.5</v>
      </c>
      <c r="G47" s="43">
        <f t="shared" ca="1" si="5"/>
        <v>5.7369000755927351</v>
      </c>
      <c r="H47" s="42">
        <f t="shared" ca="1" si="6"/>
        <v>-0.99087281480685152</v>
      </c>
      <c r="I47" s="42">
        <v>0.5</v>
      </c>
      <c r="J47" s="43">
        <f t="shared" ca="1" si="7"/>
        <v>3.0677059690972706</v>
      </c>
      <c r="K47" s="43">
        <f t="shared" ca="1" si="8"/>
        <v>-89.140034412034112</v>
      </c>
      <c r="L47" s="42">
        <f t="shared" si="0"/>
        <v>7.8551672112789576E-3</v>
      </c>
      <c r="M47" s="42">
        <f ca="1">K47-D47</f>
        <v>-0.40043472657451673</v>
      </c>
      <c r="N47" s="42">
        <f t="shared" ca="1" si="9"/>
        <v>-50.977237760075511</v>
      </c>
      <c r="O47" s="42">
        <f t="shared" ca="1" si="10"/>
        <v>1</v>
      </c>
      <c r="P47" s="42">
        <f t="shared" ca="1" si="11"/>
        <v>0.40957619961745495</v>
      </c>
      <c r="Q47" s="44">
        <f ca="1">IF(M47&lt;0,G47,IF(P47&lt;O47,G47,B47))</f>
        <v>5.7369000755927351</v>
      </c>
      <c r="R47" s="44">
        <f ca="1">IF(N47&lt;0,J47,IF(P47&lt;O47,J47,C47))</f>
        <v>3.0677059690972706</v>
      </c>
      <c r="S47" s="44">
        <f t="shared" ca="1" si="12"/>
        <v>-89.140034412034112</v>
      </c>
    </row>
    <row r="48" spans="1:19" x14ac:dyDescent="0.4">
      <c r="A48" s="42">
        <v>47</v>
      </c>
      <c r="B48" s="41">
        <f t="shared" ca="1" si="1"/>
        <v>5.7369000755927351</v>
      </c>
      <c r="C48" s="41">
        <f t="shared" ca="1" si="2"/>
        <v>3.0677059690972706</v>
      </c>
      <c r="D48" s="41">
        <f t="shared" ca="1" si="3"/>
        <v>-89.140034412034112</v>
      </c>
      <c r="E48" s="42">
        <f t="shared" ca="1" si="4"/>
        <v>-0.60676761392268741</v>
      </c>
      <c r="F48" s="42">
        <v>0.5</v>
      </c>
      <c r="G48" s="43">
        <f t="shared" ca="1" si="5"/>
        <v>5.4335162686313918</v>
      </c>
      <c r="H48" s="42">
        <f t="shared" ca="1" si="6"/>
        <v>0.84746891199781005</v>
      </c>
      <c r="I48" s="42">
        <v>0.5</v>
      </c>
      <c r="J48" s="43">
        <f t="shared" ca="1" si="7"/>
        <v>3.4914404250961755</v>
      </c>
      <c r="K48" s="43">
        <f t="shared" ca="1" si="8"/>
        <v>-88.895895574167554</v>
      </c>
      <c r="L48" s="42">
        <f t="shared" si="0"/>
        <v>7.0696504901510623E-3</v>
      </c>
      <c r="M48" s="42">
        <f ca="1">K48-D48</f>
        <v>0.24413883786655788</v>
      </c>
      <c r="N48" s="42">
        <f t="shared" ca="1" si="9"/>
        <v>34.533367414227179</v>
      </c>
      <c r="O48" s="42">
        <f t="shared" ca="1" si="10"/>
        <v>1.0054236356303841E-15</v>
      </c>
      <c r="P48" s="42">
        <f t="shared" ca="1" si="11"/>
        <v>0.1362874325068596</v>
      </c>
      <c r="Q48" s="44">
        <f ca="1">IF(M48&lt;0,G48,IF(P48&lt;O48,G48,B48))</f>
        <v>5.7369000755927351</v>
      </c>
      <c r="R48" s="44">
        <f ca="1">IF(N48&lt;0,J48,IF(P48&lt;O48,J48,C48))</f>
        <v>3.0677059690972706</v>
      </c>
      <c r="S48" s="44">
        <f t="shared" ca="1" si="12"/>
        <v>-89.140034412034112</v>
      </c>
    </row>
    <row r="49" spans="1:19" x14ac:dyDescent="0.4">
      <c r="A49" s="42">
        <v>48</v>
      </c>
      <c r="B49" s="41">
        <f t="shared" ca="1" si="1"/>
        <v>5.7369000755927351</v>
      </c>
      <c r="C49" s="41">
        <f t="shared" ca="1" si="2"/>
        <v>3.0677059690972706</v>
      </c>
      <c r="D49" s="41">
        <f t="shared" ca="1" si="3"/>
        <v>-89.140034412034112</v>
      </c>
      <c r="E49" s="42">
        <f t="shared" ca="1" si="4"/>
        <v>-0.18133470427149745</v>
      </c>
      <c r="F49" s="42">
        <v>0.5</v>
      </c>
      <c r="G49" s="43">
        <f t="shared" ca="1" si="5"/>
        <v>5.6462327234569862</v>
      </c>
      <c r="H49" s="42">
        <f t="shared" ca="1" si="6"/>
        <v>-0.5953981162259514</v>
      </c>
      <c r="I49" s="42">
        <v>0.5</v>
      </c>
      <c r="J49" s="43">
        <f t="shared" ca="1" si="7"/>
        <v>2.7700069109842946</v>
      </c>
      <c r="K49" s="43">
        <f t="shared" ca="1" si="8"/>
        <v>-87.434013609822486</v>
      </c>
      <c r="L49" s="42">
        <f t="shared" si="0"/>
        <v>6.3626854411359575E-3</v>
      </c>
      <c r="M49" s="42">
        <f ca="1">K49-D49</f>
        <v>1.7060208022116257</v>
      </c>
      <c r="N49" s="42">
        <f t="shared" ca="1" si="9"/>
        <v>268.129049910574</v>
      </c>
      <c r="O49" s="42">
        <f t="shared" ca="1" si="10"/>
        <v>3.5730013959287662E-117</v>
      </c>
      <c r="P49" s="42">
        <f t="shared" ca="1" si="11"/>
        <v>0.39706264676938863</v>
      </c>
      <c r="Q49" s="44">
        <f ca="1">IF(M49&lt;0,G49,IF(P49&lt;O49,G49,B49))</f>
        <v>5.7369000755927351</v>
      </c>
      <c r="R49" s="44">
        <f ca="1">IF(N49&lt;0,J49,IF(P49&lt;O49,J49,C49))</f>
        <v>3.0677059690972706</v>
      </c>
      <c r="S49" s="44">
        <f t="shared" ca="1" si="12"/>
        <v>-89.140034412034112</v>
      </c>
    </row>
    <row r="50" spans="1:19" x14ac:dyDescent="0.4">
      <c r="A50" s="42">
        <v>49</v>
      </c>
      <c r="B50" s="41">
        <f t="shared" ca="1" si="1"/>
        <v>5.7369000755927351</v>
      </c>
      <c r="C50" s="41">
        <f t="shared" ca="1" si="2"/>
        <v>3.0677059690972706</v>
      </c>
      <c r="D50" s="41">
        <f t="shared" ca="1" si="3"/>
        <v>-89.140034412034112</v>
      </c>
      <c r="E50" s="42">
        <f t="shared" ca="1" si="4"/>
        <v>0.45937334879859049</v>
      </c>
      <c r="F50" s="42">
        <v>0.5</v>
      </c>
      <c r="G50" s="43">
        <f t="shared" ca="1" si="5"/>
        <v>5.9665867499920306</v>
      </c>
      <c r="H50" s="42">
        <f t="shared" ca="1" si="6"/>
        <v>-0.62306632077227087</v>
      </c>
      <c r="I50" s="42">
        <v>0.5</v>
      </c>
      <c r="J50" s="43">
        <f t="shared" ca="1" si="7"/>
        <v>2.7561728087111352</v>
      </c>
      <c r="K50" s="43">
        <f t="shared" ca="1" si="8"/>
        <v>-88.771018391112932</v>
      </c>
      <c r="L50" s="42">
        <f t="shared" si="0"/>
        <v>5.7264168970223616E-3</v>
      </c>
      <c r="M50" s="42">
        <f ca="1">K50-D50</f>
        <v>0.36901602092117969</v>
      </c>
      <c r="N50" s="42">
        <f t="shared" ca="1" si="9"/>
        <v>64.440998194361583</v>
      </c>
      <c r="O50" s="42">
        <f t="shared" ca="1" si="10"/>
        <v>1.0318820929055377E-28</v>
      </c>
      <c r="P50" s="42">
        <f t="shared" ca="1" si="11"/>
        <v>0.72675883270400399</v>
      </c>
      <c r="Q50" s="44">
        <f ca="1">IF(M50&lt;0,G50,IF(P50&lt;O50,G50,B50))</f>
        <v>5.7369000755927351</v>
      </c>
      <c r="R50" s="44">
        <f ca="1">IF(N50&lt;0,J50,IF(P50&lt;O50,J50,C50))</f>
        <v>3.0677059690972706</v>
      </c>
      <c r="S50" s="44">
        <f t="shared" ca="1" si="12"/>
        <v>-89.140034412034112</v>
      </c>
    </row>
    <row r="51" spans="1:19" x14ac:dyDescent="0.4">
      <c r="A51" s="42">
        <v>50</v>
      </c>
      <c r="B51" s="41">
        <f t="shared" ca="1" si="1"/>
        <v>5.7369000755927351</v>
      </c>
      <c r="C51" s="41">
        <f t="shared" ca="1" si="2"/>
        <v>3.0677059690972706</v>
      </c>
      <c r="D51" s="41">
        <f t="shared" ca="1" si="3"/>
        <v>-89.140034412034112</v>
      </c>
      <c r="E51" s="42">
        <f t="shared" ca="1" si="4"/>
        <v>0.5278670848140341</v>
      </c>
      <c r="F51" s="42">
        <v>0.5</v>
      </c>
      <c r="G51" s="43">
        <f t="shared" ca="1" si="5"/>
        <v>6.0008336179997519</v>
      </c>
      <c r="H51" s="42">
        <f t="shared" ca="1" si="6"/>
        <v>-0.13762902716573056</v>
      </c>
      <c r="I51" s="42">
        <v>0.5</v>
      </c>
      <c r="J51" s="43">
        <f t="shared" ca="1" si="7"/>
        <v>2.9988914555144053</v>
      </c>
      <c r="K51" s="43">
        <f t="shared" ca="1" si="8"/>
        <v>-89.998897141395901</v>
      </c>
      <c r="L51" s="42">
        <f t="shared" si="0"/>
        <v>5.1537752073201248E-3</v>
      </c>
      <c r="M51" s="42">
        <f ca="1">K51-D51</f>
        <v>-0.85886272936178898</v>
      </c>
      <c r="N51" s="42">
        <f t="shared" ca="1" si="9"/>
        <v>-166.64730121366372</v>
      </c>
      <c r="O51" s="42">
        <f t="shared" ca="1" si="10"/>
        <v>1</v>
      </c>
      <c r="P51" s="42">
        <f t="shared" ca="1" si="11"/>
        <v>0.19389734207535936</v>
      </c>
      <c r="Q51" s="44">
        <f ca="1">IF(M51&lt;0,G51,IF(P51&lt;O51,G51,B51))</f>
        <v>6.0008336179997519</v>
      </c>
      <c r="R51" s="44">
        <f ca="1">IF(N51&lt;0,J51,IF(P51&lt;O51,J51,C51))</f>
        <v>2.9988914555144053</v>
      </c>
      <c r="S51" s="44">
        <f t="shared" ca="1" si="12"/>
        <v>-89.998897141395901</v>
      </c>
    </row>
    <row r="52" spans="1:19" x14ac:dyDescent="0.4">
      <c r="A52" s="42">
        <v>51</v>
      </c>
      <c r="B52" s="41">
        <f t="shared" ca="1" si="1"/>
        <v>6.0008336179997519</v>
      </c>
      <c r="C52" s="41">
        <f t="shared" ca="1" si="2"/>
        <v>2.9988914555144053</v>
      </c>
      <c r="D52" s="41">
        <f t="shared" ca="1" si="3"/>
        <v>-89.998897141395901</v>
      </c>
      <c r="E52" s="42">
        <f t="shared" ca="1" si="4"/>
        <v>-0.30087823133692071</v>
      </c>
      <c r="F52" s="42">
        <v>0.5</v>
      </c>
      <c r="G52" s="43">
        <f t="shared" ca="1" si="5"/>
        <v>5.8503945023312918</v>
      </c>
      <c r="H52" s="42">
        <f t="shared" ca="1" si="6"/>
        <v>2.5513787233508056E-2</v>
      </c>
      <c r="I52" s="42">
        <v>0.5</v>
      </c>
      <c r="J52" s="43">
        <f t="shared" ca="1" si="7"/>
        <v>3.0116483491311592</v>
      </c>
      <c r="K52" s="43">
        <f t="shared" ca="1" si="8"/>
        <v>-89.425518232842137</v>
      </c>
      <c r="L52" s="42">
        <f t="shared" si="0"/>
        <v>4.6383976865881135E-3</v>
      </c>
      <c r="M52" s="42">
        <f ca="1">K52-D52</f>
        <v>0.57337890855376372</v>
      </c>
      <c r="N52" s="42">
        <f t="shared" ca="1" si="9"/>
        <v>123.61572838217039</v>
      </c>
      <c r="O52" s="42">
        <f t="shared" ca="1" si="10"/>
        <v>2.0623923408902572E-54</v>
      </c>
      <c r="P52" s="42">
        <f t="shared" ca="1" si="11"/>
        <v>0.97780514360626758</v>
      </c>
      <c r="Q52" s="44">
        <f ca="1">IF(M52&lt;0,G52,IF(P52&lt;O52,G52,B52))</f>
        <v>6.0008336179997519</v>
      </c>
      <c r="R52" s="44">
        <f ca="1">IF(N52&lt;0,J52,IF(P52&lt;O52,J52,C52))</f>
        <v>2.9988914555144053</v>
      </c>
      <c r="S52" s="44">
        <f t="shared" ca="1" si="12"/>
        <v>-89.998897141395901</v>
      </c>
    </row>
    <row r="53" spans="1:19" x14ac:dyDescent="0.4">
      <c r="A53" s="42">
        <v>52</v>
      </c>
      <c r="B53" s="41">
        <f t="shared" ca="1" si="1"/>
        <v>6.0008336179997519</v>
      </c>
      <c r="C53" s="41">
        <f t="shared" ca="1" si="2"/>
        <v>2.9988914555144053</v>
      </c>
      <c r="D53" s="41">
        <f t="shared" ca="1" si="3"/>
        <v>-89.998897141395901</v>
      </c>
      <c r="E53" s="42">
        <f t="shared" ca="1" si="4"/>
        <v>0.46991787982774347</v>
      </c>
      <c r="F53" s="42">
        <v>0.5</v>
      </c>
      <c r="G53" s="43">
        <f t="shared" ca="1" si="5"/>
        <v>6.2357925579136237</v>
      </c>
      <c r="H53" s="42">
        <f t="shared" ca="1" si="6"/>
        <v>0.33162126297517358</v>
      </c>
      <c r="I53" s="42">
        <v>0.5</v>
      </c>
      <c r="J53" s="43">
        <f t="shared" ca="1" si="7"/>
        <v>3.164702087001992</v>
      </c>
      <c r="K53" s="43">
        <f t="shared" ca="1" si="8"/>
        <v>-91.492126894369392</v>
      </c>
      <c r="L53" s="42">
        <f t="shared" si="0"/>
        <v>4.1745579179293026E-3</v>
      </c>
      <c r="M53" s="42">
        <f ca="1">K53-D53</f>
        <v>-1.493229752973491</v>
      </c>
      <c r="N53" s="42">
        <f t="shared" ca="1" si="9"/>
        <v>-357.69769693701477</v>
      </c>
      <c r="O53" s="42">
        <f t="shared" ca="1" si="10"/>
        <v>1</v>
      </c>
      <c r="P53" s="42">
        <f t="shared" ca="1" si="11"/>
        <v>0.15416384293969143</v>
      </c>
      <c r="Q53" s="44">
        <f ca="1">IF(M53&lt;0,G53,IF(P53&lt;O53,G53,B53))</f>
        <v>6.2357925579136237</v>
      </c>
      <c r="R53" s="44">
        <f ca="1">IF(N53&lt;0,J53,IF(P53&lt;O53,J53,C53))</f>
        <v>3.164702087001992</v>
      </c>
      <c r="S53" s="44">
        <f t="shared" ca="1" si="12"/>
        <v>-91.492126894369392</v>
      </c>
    </row>
    <row r="54" spans="1:19" x14ac:dyDescent="0.4">
      <c r="A54" s="42">
        <v>53</v>
      </c>
      <c r="B54" s="41">
        <f t="shared" ca="1" si="1"/>
        <v>6.2357925579136237</v>
      </c>
      <c r="C54" s="41">
        <f t="shared" ca="1" si="2"/>
        <v>3.164702087001992</v>
      </c>
      <c r="D54" s="41">
        <f t="shared" ca="1" si="3"/>
        <v>-91.492126894369392</v>
      </c>
      <c r="E54" s="42">
        <f t="shared" ca="1" si="4"/>
        <v>0.47070584216423961</v>
      </c>
      <c r="F54" s="42">
        <v>0.5</v>
      </c>
      <c r="G54" s="43">
        <f t="shared" ca="1" si="5"/>
        <v>6.4711454789957434</v>
      </c>
      <c r="H54" s="42">
        <f t="shared" ca="1" si="6"/>
        <v>-0.9543206118389127</v>
      </c>
      <c r="I54" s="42">
        <v>0.5</v>
      </c>
      <c r="J54" s="43">
        <f t="shared" ca="1" si="7"/>
        <v>2.6875417810825355</v>
      </c>
      <c r="K54" s="43">
        <f t="shared" ca="1" si="8"/>
        <v>-90.217510700796836</v>
      </c>
      <c r="L54" s="42">
        <f t="shared" si="0"/>
        <v>3.7571021261363726E-3</v>
      </c>
      <c r="M54" s="42">
        <f ca="1">K54-D54</f>
        <v>1.2746161935725553</v>
      </c>
      <c r="N54" s="42">
        <f t="shared" ca="1" si="9"/>
        <v>339.25513621406685</v>
      </c>
      <c r="O54" s="42">
        <f t="shared" ca="1" si="10"/>
        <v>4.6064502476966046E-148</v>
      </c>
      <c r="P54" s="42">
        <f t="shared" ca="1" si="11"/>
        <v>0.64436296010380956</v>
      </c>
      <c r="Q54" s="44">
        <f ca="1">IF(M54&lt;0,G54,IF(P54&lt;O54,G54,B54))</f>
        <v>6.2357925579136237</v>
      </c>
      <c r="R54" s="44">
        <f ca="1">IF(N54&lt;0,J54,IF(P54&lt;O54,J54,C54))</f>
        <v>3.164702087001992</v>
      </c>
      <c r="S54" s="44">
        <f t="shared" ca="1" si="12"/>
        <v>-91.492126894369392</v>
      </c>
    </row>
    <row r="55" spans="1:19" x14ac:dyDescent="0.4">
      <c r="A55" s="42">
        <v>54</v>
      </c>
      <c r="B55" s="41">
        <f t="shared" ca="1" si="1"/>
        <v>6.2357925579136237</v>
      </c>
      <c r="C55" s="41">
        <f t="shared" ca="1" si="2"/>
        <v>3.164702087001992</v>
      </c>
      <c r="D55" s="41">
        <f t="shared" ca="1" si="3"/>
        <v>-91.492126894369392</v>
      </c>
      <c r="E55" s="42">
        <f t="shared" ca="1" si="4"/>
        <v>0.7731344374102278</v>
      </c>
      <c r="F55" s="42">
        <v>0.5</v>
      </c>
      <c r="G55" s="43">
        <f t="shared" ca="1" si="5"/>
        <v>6.6223597766187376</v>
      </c>
      <c r="H55" s="42">
        <f t="shared" ca="1" si="6"/>
        <v>-0.10392146146944481</v>
      </c>
      <c r="I55" s="42">
        <v>0.5</v>
      </c>
      <c r="J55" s="43">
        <f t="shared" ca="1" si="7"/>
        <v>3.1127413562672697</v>
      </c>
      <c r="K55" s="43">
        <f t="shared" ca="1" si="8"/>
        <v>-92.527651613165133</v>
      </c>
      <c r="L55" s="42">
        <f t="shared" si="0"/>
        <v>3.3813919135227354E-3</v>
      </c>
      <c r="M55" s="42">
        <f ca="1">K55-D55</f>
        <v>-1.0355247187957417</v>
      </c>
      <c r="N55" s="42">
        <f t="shared" ca="1" si="9"/>
        <v>-306.2421468078013</v>
      </c>
      <c r="O55" s="42">
        <f t="shared" ca="1" si="10"/>
        <v>1</v>
      </c>
      <c r="P55" s="42">
        <f t="shared" ca="1" si="11"/>
        <v>0.84636730632361623</v>
      </c>
      <c r="Q55" s="44">
        <f ca="1">IF(M55&lt;0,G55,IF(P55&lt;O55,G55,B55))</f>
        <v>6.6223597766187376</v>
      </c>
      <c r="R55" s="44">
        <f ca="1">IF(N55&lt;0,J55,IF(P55&lt;O55,J55,C55))</f>
        <v>3.1127413562672697</v>
      </c>
      <c r="S55" s="44">
        <f t="shared" ca="1" si="12"/>
        <v>-92.527651613165133</v>
      </c>
    </row>
    <row r="56" spans="1:19" x14ac:dyDescent="0.4">
      <c r="A56" s="42">
        <v>55</v>
      </c>
      <c r="B56" s="41">
        <f t="shared" ca="1" si="1"/>
        <v>6.6223597766187376</v>
      </c>
      <c r="C56" s="41">
        <f t="shared" ca="1" si="2"/>
        <v>3.1127413562672697</v>
      </c>
      <c r="D56" s="41">
        <f t="shared" ca="1" si="3"/>
        <v>-92.527651613165133</v>
      </c>
      <c r="E56" s="42">
        <f t="shared" ca="1" si="4"/>
        <v>-0.29119763656423592</v>
      </c>
      <c r="F56" s="42">
        <v>0.5</v>
      </c>
      <c r="G56" s="43">
        <f t="shared" ca="1" si="5"/>
        <v>6.4767609583366195</v>
      </c>
      <c r="H56" s="42">
        <f t="shared" ca="1" si="6"/>
        <v>0.54940007594388263</v>
      </c>
      <c r="I56" s="42">
        <v>0.5</v>
      </c>
      <c r="J56" s="43">
        <f t="shared" ca="1" si="7"/>
        <v>3.387441394239211</v>
      </c>
      <c r="K56" s="43">
        <f t="shared" ca="1" si="8"/>
        <v>-92.929286730969224</v>
      </c>
      <c r="L56" s="42">
        <f t="shared" si="0"/>
        <v>3.0432527221704616E-3</v>
      </c>
      <c r="M56" s="42">
        <f ca="1">K56-D56</f>
        <v>-0.40163511780409067</v>
      </c>
      <c r="N56" s="42">
        <f t="shared" ca="1" si="9"/>
        <v>-131.97560454908347</v>
      </c>
      <c r="O56" s="42">
        <f t="shared" ca="1" si="10"/>
        <v>1</v>
      </c>
      <c r="P56" s="42">
        <f t="shared" ca="1" si="11"/>
        <v>0.19507168691052301</v>
      </c>
      <c r="Q56" s="44">
        <f ca="1">IF(M56&lt;0,G56,IF(P56&lt;O56,G56,B56))</f>
        <v>6.4767609583366195</v>
      </c>
      <c r="R56" s="44">
        <f ca="1">IF(N56&lt;0,J56,IF(P56&lt;O56,J56,C56))</f>
        <v>3.387441394239211</v>
      </c>
      <c r="S56" s="44">
        <f t="shared" ca="1" si="12"/>
        <v>-92.929286730969224</v>
      </c>
    </row>
    <row r="57" spans="1:19" x14ac:dyDescent="0.4">
      <c r="A57" s="42">
        <v>56</v>
      </c>
      <c r="B57" s="41">
        <f t="shared" ca="1" si="1"/>
        <v>6.4767609583366195</v>
      </c>
      <c r="C57" s="41">
        <f t="shared" ca="1" si="2"/>
        <v>3.387441394239211</v>
      </c>
      <c r="D57" s="41">
        <f t="shared" ca="1" si="3"/>
        <v>-92.929286730969224</v>
      </c>
      <c r="E57" s="42">
        <f t="shared" ca="1" si="4"/>
        <v>-0.65012886576497908</v>
      </c>
      <c r="F57" s="42">
        <v>0.5</v>
      </c>
      <c r="G57" s="43">
        <f t="shared" ca="1" si="5"/>
        <v>6.1516965254541303</v>
      </c>
      <c r="H57" s="42">
        <f t="shared" ca="1" si="6"/>
        <v>-0.63542094055485676</v>
      </c>
      <c r="I57" s="42">
        <v>0.5</v>
      </c>
      <c r="J57" s="43">
        <f t="shared" ca="1" si="7"/>
        <v>3.0697309239617825</v>
      </c>
      <c r="K57" s="43">
        <f t="shared" ca="1" si="8"/>
        <v>-90.852973158315677</v>
      </c>
      <c r="L57" s="42">
        <f t="shared" si="0"/>
        <v>2.7389274499534156E-3</v>
      </c>
      <c r="M57" s="42">
        <f ca="1">K57-D57</f>
        <v>2.0763135726535467</v>
      </c>
      <c r="N57" s="42">
        <f t="shared" ca="1" si="9"/>
        <v>758.07541842295279</v>
      </c>
      <c r="O57" s="42">
        <f t="shared" ca="1" si="10"/>
        <v>0</v>
      </c>
      <c r="P57" s="42">
        <f t="shared" ca="1" si="11"/>
        <v>0.38199568142807638</v>
      </c>
      <c r="Q57" s="44">
        <f ca="1">IF(M57&lt;0,G57,IF(P57&lt;O57,G57,B57))</f>
        <v>6.4767609583366195</v>
      </c>
      <c r="R57" s="44">
        <f ca="1">IF(N57&lt;0,J57,IF(P57&lt;O57,J57,C57))</f>
        <v>3.387441394239211</v>
      </c>
      <c r="S57" s="44">
        <f t="shared" ca="1" si="12"/>
        <v>-92.929286730969224</v>
      </c>
    </row>
    <row r="58" spans="1:19" x14ac:dyDescent="0.4">
      <c r="A58" s="42">
        <v>57</v>
      </c>
      <c r="B58" s="41">
        <f t="shared" ca="1" si="1"/>
        <v>6.4767609583366195</v>
      </c>
      <c r="C58" s="41">
        <f t="shared" ca="1" si="2"/>
        <v>3.387441394239211</v>
      </c>
      <c r="D58" s="41">
        <f t="shared" ca="1" si="3"/>
        <v>-92.929286730969224</v>
      </c>
      <c r="E58" s="42">
        <f t="shared" ca="1" si="4"/>
        <v>-0.84702201599967131</v>
      </c>
      <c r="F58" s="42">
        <v>0.5</v>
      </c>
      <c r="G58" s="43">
        <f t="shared" ca="1" si="5"/>
        <v>6.0532499503367836</v>
      </c>
      <c r="H58" s="42">
        <f t="shared" ca="1" si="6"/>
        <v>0.20526917489406293</v>
      </c>
      <c r="I58" s="42">
        <v>0.5</v>
      </c>
      <c r="J58" s="43">
        <f t="shared" ca="1" si="7"/>
        <v>3.4900759816862426</v>
      </c>
      <c r="K58" s="43">
        <f t="shared" ca="1" si="8"/>
        <v>-91.690119235229758</v>
      </c>
      <c r="L58" s="42">
        <f t="shared" si="0"/>
        <v>2.4650347049580742E-3</v>
      </c>
      <c r="M58" s="42">
        <f ca="1">K58-D58</f>
        <v>1.2391674957394656</v>
      </c>
      <c r="N58" s="42">
        <f t="shared" ca="1" si="9"/>
        <v>502.69778889808435</v>
      </c>
      <c r="O58" s="42">
        <f t="shared" ca="1" si="10"/>
        <v>4.7987068127821313E-219</v>
      </c>
      <c r="P58" s="42">
        <f t="shared" ca="1" si="11"/>
        <v>0.11887090469459571</v>
      </c>
      <c r="Q58" s="44">
        <f ca="1">IF(M58&lt;0,G58,IF(P58&lt;O58,G58,B58))</f>
        <v>6.4767609583366195</v>
      </c>
      <c r="R58" s="44">
        <f ca="1">IF(N58&lt;0,J58,IF(P58&lt;O58,J58,C58))</f>
        <v>3.387441394239211</v>
      </c>
      <c r="S58" s="44">
        <f t="shared" ca="1" si="12"/>
        <v>-92.929286730969224</v>
      </c>
    </row>
    <row r="59" spans="1:19" x14ac:dyDescent="0.4">
      <c r="A59" s="42">
        <v>58</v>
      </c>
      <c r="B59" s="41">
        <f t="shared" ca="1" si="1"/>
        <v>6.4767609583366195</v>
      </c>
      <c r="C59" s="41">
        <f t="shared" ca="1" si="2"/>
        <v>3.387441394239211</v>
      </c>
      <c r="D59" s="41">
        <f t="shared" ca="1" si="3"/>
        <v>-92.929286730969224</v>
      </c>
      <c r="E59" s="42">
        <f t="shared" ca="1" si="4"/>
        <v>-8.6804796156722208E-2</v>
      </c>
      <c r="F59" s="42">
        <v>0.5</v>
      </c>
      <c r="G59" s="43">
        <f t="shared" ca="1" si="5"/>
        <v>6.4333585602582586</v>
      </c>
      <c r="H59" s="42">
        <f t="shared" ca="1" si="6"/>
        <v>-0.7563726787369387</v>
      </c>
      <c r="I59" s="42">
        <v>0.5</v>
      </c>
      <c r="J59" s="43">
        <f t="shared" ca="1" si="7"/>
        <v>3.0092550548707417</v>
      </c>
      <c r="K59" s="43">
        <f t="shared" ca="1" si="8"/>
        <v>-91.582483506685577</v>
      </c>
      <c r="L59" s="42">
        <f t="shared" si="0"/>
        <v>2.218531234462267E-3</v>
      </c>
      <c r="M59" s="42">
        <f ca="1">K59-D59</f>
        <v>1.3468032242836472</v>
      </c>
      <c r="N59" s="42">
        <f t="shared" ca="1" si="9"/>
        <v>607.06976010193</v>
      </c>
      <c r="O59" s="42">
        <f t="shared" ca="1" si="10"/>
        <v>2.2539955661169519E-264</v>
      </c>
      <c r="P59" s="42">
        <f t="shared" ca="1" si="11"/>
        <v>0.6908572108043185</v>
      </c>
      <c r="Q59" s="44">
        <f ca="1">IF(M59&lt;0,G59,IF(P59&lt;O59,G59,B59))</f>
        <v>6.4767609583366195</v>
      </c>
      <c r="R59" s="44">
        <f ca="1">IF(N59&lt;0,J59,IF(P59&lt;O59,J59,C59))</f>
        <v>3.387441394239211</v>
      </c>
      <c r="S59" s="44">
        <f t="shared" ca="1" si="12"/>
        <v>-92.929286730969224</v>
      </c>
    </row>
    <row r="60" spans="1:19" x14ac:dyDescent="0.4">
      <c r="A60" s="42">
        <v>59</v>
      </c>
      <c r="B60" s="41">
        <f t="shared" ca="1" si="1"/>
        <v>6.4767609583366195</v>
      </c>
      <c r="C60" s="41">
        <f t="shared" ca="1" si="2"/>
        <v>3.387441394239211</v>
      </c>
      <c r="D60" s="41">
        <f t="shared" ca="1" si="3"/>
        <v>-92.929286730969224</v>
      </c>
      <c r="E60" s="42">
        <f t="shared" ca="1" si="4"/>
        <v>0.87328229126341039</v>
      </c>
      <c r="F60" s="42">
        <v>0.5</v>
      </c>
      <c r="G60" s="43">
        <f t="shared" ca="1" si="5"/>
        <v>6.9134021039683251</v>
      </c>
      <c r="H60" s="42">
        <f t="shared" ca="1" si="6"/>
        <v>0.24048577847764774</v>
      </c>
      <c r="I60" s="42">
        <v>0.5</v>
      </c>
      <c r="J60" s="43">
        <f t="shared" ca="1" si="7"/>
        <v>3.5076842834780351</v>
      </c>
      <c r="K60" s="43">
        <f t="shared" ca="1" si="8"/>
        <v>-94.334555482870471</v>
      </c>
      <c r="L60" s="42">
        <f t="shared" si="0"/>
        <v>1.9966781110160405E-3</v>
      </c>
      <c r="M60" s="42">
        <f ca="1">K60-D60</f>
        <v>-1.4052687519012466</v>
      </c>
      <c r="N60" s="42">
        <f t="shared" ca="1" si="9"/>
        <v>-703.80335425531052</v>
      </c>
      <c r="O60" s="42">
        <f t="shared" ca="1" si="10"/>
        <v>1</v>
      </c>
      <c r="P60" s="42">
        <f t="shared" ca="1" si="11"/>
        <v>0.58288311395987957</v>
      </c>
      <c r="Q60" s="44">
        <f ca="1">IF(M60&lt;0,G60,IF(P60&lt;O60,G60,B60))</f>
        <v>6.9134021039683251</v>
      </c>
      <c r="R60" s="44">
        <f ca="1">IF(N60&lt;0,J60,IF(P60&lt;O60,J60,C60))</f>
        <v>3.5076842834780351</v>
      </c>
      <c r="S60" s="44">
        <f t="shared" ca="1" si="12"/>
        <v>-94.334555482870471</v>
      </c>
    </row>
    <row r="61" spans="1:19" x14ac:dyDescent="0.4">
      <c r="A61" s="42">
        <v>60</v>
      </c>
      <c r="B61" s="41">
        <f t="shared" ca="1" si="1"/>
        <v>6.9134021039683251</v>
      </c>
      <c r="C61" s="41">
        <f t="shared" ca="1" si="2"/>
        <v>3.5076842834780351</v>
      </c>
      <c r="D61" s="41">
        <f t="shared" ca="1" si="3"/>
        <v>-94.334555482870471</v>
      </c>
      <c r="E61" s="42">
        <f t="shared" ca="1" si="4"/>
        <v>0.15163171248640706</v>
      </c>
      <c r="F61" s="42">
        <v>0.5</v>
      </c>
      <c r="G61" s="43">
        <f t="shared" ca="1" si="5"/>
        <v>6.989217960211529</v>
      </c>
      <c r="H61" s="42">
        <f t="shared" ca="1" si="6"/>
        <v>0.58439647922702909</v>
      </c>
      <c r="I61" s="42">
        <v>0.5</v>
      </c>
      <c r="J61" s="43">
        <f t="shared" ca="1" si="7"/>
        <v>3.7998825230915498</v>
      </c>
      <c r="K61" s="43">
        <f t="shared" ca="1" si="8"/>
        <v>-94.898225658912651</v>
      </c>
      <c r="L61" s="42">
        <f t="shared" si="0"/>
        <v>1.7970102999144365E-3</v>
      </c>
      <c r="M61" s="42">
        <f ca="1">K61-D61</f>
        <v>-0.56367017604218006</v>
      </c>
      <c r="N61" s="42">
        <f t="shared" ca="1" si="9"/>
        <v>-313.67108806722968</v>
      </c>
      <c r="O61" s="42">
        <f t="shared" ca="1" si="10"/>
        <v>1</v>
      </c>
      <c r="P61" s="42">
        <f t="shared" ca="1" si="11"/>
        <v>0.16588078850372634</v>
      </c>
      <c r="Q61" s="44">
        <f ca="1">IF(M61&lt;0,G61,IF(P61&lt;O61,G61,B61))</f>
        <v>6.989217960211529</v>
      </c>
      <c r="R61" s="44">
        <f ca="1">IF(N61&lt;0,J61,IF(P61&lt;O61,J61,C61))</f>
        <v>3.7998825230915498</v>
      </c>
      <c r="S61" s="44">
        <f t="shared" ca="1" si="12"/>
        <v>-94.898225658912651</v>
      </c>
    </row>
    <row r="62" spans="1:19" x14ac:dyDescent="0.4">
      <c r="A62" s="42">
        <v>61</v>
      </c>
      <c r="B62" s="41">
        <f t="shared" ca="1" si="1"/>
        <v>6.989217960211529</v>
      </c>
      <c r="C62" s="41">
        <f t="shared" ca="1" si="2"/>
        <v>3.7998825230915498</v>
      </c>
      <c r="D62" s="41">
        <f t="shared" ca="1" si="3"/>
        <v>-94.898225658912651</v>
      </c>
      <c r="E62" s="42">
        <f t="shared" ca="1" si="4"/>
        <v>-0.88468067277118578</v>
      </c>
      <c r="F62" s="42">
        <v>0.5</v>
      </c>
      <c r="G62" s="43">
        <f t="shared" ca="1" si="5"/>
        <v>6.5468776238259361</v>
      </c>
      <c r="H62" s="42">
        <f t="shared" ca="1" si="6"/>
        <v>0.877656490342277</v>
      </c>
      <c r="I62" s="42">
        <v>0.5</v>
      </c>
      <c r="J62" s="43">
        <f t="shared" ca="1" si="7"/>
        <v>4.2387107682626883</v>
      </c>
      <c r="K62" s="43">
        <f t="shared" ca="1" si="8"/>
        <v>-93.774469698093114</v>
      </c>
      <c r="L62" s="42">
        <f t="shared" si="0"/>
        <v>1.617309269922993E-3</v>
      </c>
      <c r="M62" s="42">
        <f ca="1">K62-D62</f>
        <v>1.1237559608195369</v>
      </c>
      <c r="N62" s="42">
        <f t="shared" ca="1" si="9"/>
        <v>694.83059407248913</v>
      </c>
      <c r="O62" s="42">
        <f t="shared" ca="1" si="10"/>
        <v>1.7334333058581295E-302</v>
      </c>
      <c r="P62" s="42">
        <f t="shared" ca="1" si="11"/>
        <v>0.59497761947070782</v>
      </c>
      <c r="Q62" s="44">
        <f ca="1">IF(M62&lt;0,G62,IF(P62&lt;O62,G62,B62))</f>
        <v>6.989217960211529</v>
      </c>
      <c r="R62" s="44">
        <f ca="1">IF(N62&lt;0,J62,IF(P62&lt;O62,J62,C62))</f>
        <v>3.7998825230915498</v>
      </c>
      <c r="S62" s="44">
        <f t="shared" ca="1" si="12"/>
        <v>-94.898225658912651</v>
      </c>
    </row>
    <row r="63" spans="1:19" x14ac:dyDescent="0.4">
      <c r="A63" s="42">
        <v>62</v>
      </c>
      <c r="B63" s="41">
        <f t="shared" ca="1" si="1"/>
        <v>6.989217960211529</v>
      </c>
      <c r="C63" s="41">
        <f t="shared" ca="1" si="2"/>
        <v>3.7998825230915498</v>
      </c>
      <c r="D63" s="41">
        <f t="shared" ca="1" si="3"/>
        <v>-94.898225658912651</v>
      </c>
      <c r="E63" s="42">
        <f t="shared" ca="1" si="4"/>
        <v>0.24702671089596739</v>
      </c>
      <c r="F63" s="42">
        <v>0.5</v>
      </c>
      <c r="G63" s="43">
        <f t="shared" ca="1" si="5"/>
        <v>7.1127313156595129</v>
      </c>
      <c r="H63" s="42">
        <f t="shared" ca="1" si="6"/>
        <v>0.64272574380284131</v>
      </c>
      <c r="I63" s="42">
        <v>0.5</v>
      </c>
      <c r="J63" s="43">
        <f t="shared" ca="1" si="7"/>
        <v>4.1212453949929708</v>
      </c>
      <c r="K63" s="43">
        <f t="shared" ca="1" si="8"/>
        <v>-95.183353390174688</v>
      </c>
      <c r="L63" s="42">
        <f t="shared" si="0"/>
        <v>1.4555783429306937E-3</v>
      </c>
      <c r="M63" s="42">
        <f ca="1">K63-D63</f>
        <v>-0.28512773126203683</v>
      </c>
      <c r="N63" s="42">
        <f t="shared" ca="1" si="9"/>
        <v>-195.88621433316624</v>
      </c>
      <c r="O63" s="42">
        <f t="shared" ca="1" si="10"/>
        <v>1</v>
      </c>
      <c r="P63" s="42">
        <f t="shared" ca="1" si="11"/>
        <v>0.88621775490448873</v>
      </c>
      <c r="Q63" s="44">
        <f ca="1">IF(M63&lt;0,G63,IF(P63&lt;O63,G63,B63))</f>
        <v>7.1127313156595129</v>
      </c>
      <c r="R63" s="44">
        <f ca="1">IF(N63&lt;0,J63,IF(P63&lt;O63,J63,C63))</f>
        <v>4.1212453949929708</v>
      </c>
      <c r="S63" s="44">
        <f t="shared" ca="1" si="12"/>
        <v>-95.183353390174688</v>
      </c>
    </row>
    <row r="64" spans="1:19" x14ac:dyDescent="0.4">
      <c r="A64" s="42">
        <v>63</v>
      </c>
      <c r="B64" s="41">
        <f t="shared" ca="1" si="1"/>
        <v>7.1127313156595129</v>
      </c>
      <c r="C64" s="41">
        <f t="shared" ca="1" si="2"/>
        <v>4.1212453949929708</v>
      </c>
      <c r="D64" s="41">
        <f t="shared" ca="1" si="3"/>
        <v>-95.183353390174688</v>
      </c>
      <c r="E64" s="42">
        <f t="shared" ca="1" si="4"/>
        <v>-0.91498244930337358</v>
      </c>
      <c r="F64" s="42">
        <v>0.5</v>
      </c>
      <c r="G64" s="43">
        <f t="shared" ca="1" si="5"/>
        <v>6.6552400910078262</v>
      </c>
      <c r="H64" s="42">
        <f t="shared" ca="1" si="6"/>
        <v>-0.97084439988585092</v>
      </c>
      <c r="I64" s="42">
        <v>0.5</v>
      </c>
      <c r="J64" s="43">
        <f t="shared" ca="1" si="7"/>
        <v>3.6358231950500453</v>
      </c>
      <c r="K64" s="43">
        <f t="shared" ca="1" si="8"/>
        <v>-93.926371296640241</v>
      </c>
      <c r="L64" s="42">
        <f t="shared" si="0"/>
        <v>1.3100205086376243E-3</v>
      </c>
      <c r="M64" s="42">
        <f ca="1">K64-D64</f>
        <v>1.2569820935344467</v>
      </c>
      <c r="N64" s="42">
        <f t="shared" ca="1" si="9"/>
        <v>959.51329406412447</v>
      </c>
      <c r="O64" s="42">
        <f t="shared" ca="1" si="10"/>
        <v>0</v>
      </c>
      <c r="P64" s="42">
        <f t="shared" ca="1" si="11"/>
        <v>0.67177294613287675</v>
      </c>
      <c r="Q64" s="44">
        <f ca="1">IF(M64&lt;0,G64,IF(P64&lt;O64,G64,B64))</f>
        <v>7.1127313156595129</v>
      </c>
      <c r="R64" s="44">
        <f ca="1">IF(N64&lt;0,J64,IF(P64&lt;O64,J64,C64))</f>
        <v>4.1212453949929708</v>
      </c>
      <c r="S64" s="44">
        <f t="shared" ca="1" si="12"/>
        <v>-95.183353390174688</v>
      </c>
    </row>
    <row r="65" spans="1:19" x14ac:dyDescent="0.4">
      <c r="A65" s="42">
        <v>64</v>
      </c>
      <c r="B65" s="41">
        <f t="shared" ca="1" si="1"/>
        <v>7.1127313156595129</v>
      </c>
      <c r="C65" s="41">
        <f t="shared" ca="1" si="2"/>
        <v>4.1212453949929708</v>
      </c>
      <c r="D65" s="41">
        <f t="shared" ca="1" si="3"/>
        <v>-95.183353390174688</v>
      </c>
      <c r="E65" s="42">
        <f t="shared" ca="1" si="4"/>
        <v>-0.39329584414809271</v>
      </c>
      <c r="F65" s="42">
        <v>0.5</v>
      </c>
      <c r="G65" s="43">
        <f t="shared" ca="1" si="5"/>
        <v>6.9160833935854669</v>
      </c>
      <c r="H65" s="42">
        <f t="shared" ca="1" si="6"/>
        <v>0.31952100361208657</v>
      </c>
      <c r="I65" s="42">
        <v>0.5</v>
      </c>
      <c r="J65" s="43">
        <f t="shared" ca="1" si="7"/>
        <v>4.2810058967990141</v>
      </c>
      <c r="K65" s="43">
        <f t="shared" ca="1" si="8"/>
        <v>-94.667196162267174</v>
      </c>
      <c r="L65" s="42">
        <f t="shared" si="0"/>
        <v>1.179018457773862E-3</v>
      </c>
      <c r="M65" s="42">
        <f ca="1">K65-D65</f>
        <v>0.51615722790751306</v>
      </c>
      <c r="N65" s="42">
        <f t="shared" ca="1" si="9"/>
        <v>437.78553635375994</v>
      </c>
      <c r="O65" s="42">
        <f t="shared" ca="1" si="10"/>
        <v>7.4500176990703584E-191</v>
      </c>
      <c r="P65" s="42">
        <f t="shared" ca="1" si="11"/>
        <v>0.27587043940598321</v>
      </c>
      <c r="Q65" s="44">
        <f ca="1">IF(M65&lt;0,G65,IF(P65&lt;O65,G65,B65))</f>
        <v>7.1127313156595129</v>
      </c>
      <c r="R65" s="44">
        <f ca="1">IF(N65&lt;0,J65,IF(P65&lt;O65,J65,C65))</f>
        <v>4.1212453949929708</v>
      </c>
      <c r="S65" s="44">
        <f t="shared" ca="1" si="12"/>
        <v>-95.183353390174688</v>
      </c>
    </row>
    <row r="66" spans="1:19" x14ac:dyDescent="0.4">
      <c r="A66" s="42">
        <v>65</v>
      </c>
      <c r="B66" s="41">
        <f t="shared" ca="1" si="1"/>
        <v>7.1127313156595129</v>
      </c>
      <c r="C66" s="41">
        <f t="shared" ca="1" si="2"/>
        <v>4.1212453949929708</v>
      </c>
      <c r="D66" s="41">
        <f t="shared" ca="1" si="3"/>
        <v>-95.183353390174688</v>
      </c>
      <c r="E66" s="42">
        <f t="shared" ca="1" si="4"/>
        <v>-0.12973888376552378</v>
      </c>
      <c r="F66" s="42">
        <v>0.5</v>
      </c>
      <c r="G66" s="43">
        <f t="shared" ca="1" si="5"/>
        <v>7.0478618737767507</v>
      </c>
      <c r="H66" s="42">
        <f t="shared" ca="1" si="6"/>
        <v>0.63956673258983199</v>
      </c>
      <c r="I66" s="42">
        <v>0.5</v>
      </c>
      <c r="J66" s="43">
        <f t="shared" ca="1" si="7"/>
        <v>4.4410287612878871</v>
      </c>
      <c r="K66" s="43">
        <f t="shared" ca="1" si="8"/>
        <v>-94.704420252025812</v>
      </c>
      <c r="L66" s="42">
        <f t="shared" si="0"/>
        <v>1.0611166119964758E-3</v>
      </c>
      <c r="M66" s="42">
        <f ca="1">K66-D66</f>
        <v>0.47893313814887506</v>
      </c>
      <c r="N66" s="42">
        <f t="shared" ca="1" si="9"/>
        <v>451.34826157114736</v>
      </c>
      <c r="O66" s="42">
        <f t="shared" ca="1" si="10"/>
        <v>9.5926938236070067E-197</v>
      </c>
      <c r="P66" s="42">
        <f t="shared" ca="1" si="11"/>
        <v>0.28811352689122216</v>
      </c>
      <c r="Q66" s="44">
        <f ca="1">IF(M66&lt;0,G66,IF(P66&lt;O66,G66,B66))</f>
        <v>7.1127313156595129</v>
      </c>
      <c r="R66" s="44">
        <f ca="1">IF(N66&lt;0,J66,IF(P66&lt;O66,J66,C66))</f>
        <v>4.1212453949929708</v>
      </c>
      <c r="S66" s="44">
        <f t="shared" ca="1" si="12"/>
        <v>-95.183353390174688</v>
      </c>
    </row>
    <row r="67" spans="1:19" x14ac:dyDescent="0.4">
      <c r="A67" s="42">
        <v>66</v>
      </c>
      <c r="B67" s="41">
        <f t="shared" ca="1" si="1"/>
        <v>7.1127313156595129</v>
      </c>
      <c r="C67" s="41">
        <f t="shared" ca="1" si="2"/>
        <v>4.1212453949929708</v>
      </c>
      <c r="D67" s="41">
        <f t="shared" ca="1" si="3"/>
        <v>-95.183353390174688</v>
      </c>
      <c r="E67" s="42">
        <f t="shared" ca="1" si="4"/>
        <v>-0.45284724603289805</v>
      </c>
      <c r="F67" s="42">
        <v>0.5</v>
      </c>
      <c r="G67" s="43">
        <f t="shared" ca="1" si="5"/>
        <v>6.8863076926430642</v>
      </c>
      <c r="H67" s="42">
        <f t="shared" ca="1" si="6"/>
        <v>2.5881056208213238E-2</v>
      </c>
      <c r="I67" s="42">
        <v>0.5</v>
      </c>
      <c r="J67" s="43">
        <f t="shared" ca="1" si="7"/>
        <v>4.1341859230970774</v>
      </c>
      <c r="K67" s="43">
        <f t="shared" ca="1" si="8"/>
        <v>-94.72367772061915</v>
      </c>
      <c r="L67" s="42">
        <f t="shared" ref="L67:L130" si="13">(0.9^A67)*1</f>
        <v>9.5500495079682828E-4</v>
      </c>
      <c r="M67" s="42">
        <f ca="1">K67-D67</f>
        <v>0.45967566955553707</v>
      </c>
      <c r="N67" s="42">
        <f t="shared" ca="1" si="9"/>
        <v>481.33328436883716</v>
      </c>
      <c r="O67" s="42">
        <f t="shared" ca="1" si="10"/>
        <v>9.11193561271747E-210</v>
      </c>
      <c r="P67" s="42">
        <f t="shared" ca="1" si="11"/>
        <v>0.5700650414697308</v>
      </c>
      <c r="Q67" s="44">
        <f ca="1">IF(M67&lt;0,G67,IF(P67&lt;O67,G67,B67))</f>
        <v>7.1127313156595129</v>
      </c>
      <c r="R67" s="44">
        <f ca="1">IF(N67&lt;0,J67,IF(P67&lt;O67,J67,C67))</f>
        <v>4.1212453949929708</v>
      </c>
      <c r="S67" s="44">
        <f t="shared" ca="1" si="12"/>
        <v>-95.183353390174688</v>
      </c>
    </row>
    <row r="68" spans="1:19" x14ac:dyDescent="0.4">
      <c r="A68" s="42">
        <v>67</v>
      </c>
      <c r="B68" s="41">
        <f t="shared" ref="B68:B131" ca="1" si="14">Q67</f>
        <v>7.1127313156595129</v>
      </c>
      <c r="C68" s="41">
        <f t="shared" ref="C68:C131" ca="1" si="15">R67</f>
        <v>4.1212453949929708</v>
      </c>
      <c r="D68" s="41">
        <f t="shared" ref="D68:D131" ca="1" si="16">S67</f>
        <v>-95.183353390174688</v>
      </c>
      <c r="E68" s="42">
        <f t="shared" ref="E68:E131" ca="1" si="17">2*(RAND()-0.5)</f>
        <v>9.5590800281480259E-2</v>
      </c>
      <c r="F68" s="42">
        <v>0.5</v>
      </c>
      <c r="G68" s="43">
        <f t="shared" ref="G68:G131" ca="1" si="18">B68+E68*F68</f>
        <v>7.1605267158002528</v>
      </c>
      <c r="H68" s="42">
        <f t="shared" ref="H68:H131" ca="1" si="19">2*(RAND()-0.5)</f>
        <v>8.5509786148407763E-2</v>
      </c>
      <c r="I68" s="42">
        <v>0.5</v>
      </c>
      <c r="J68" s="43">
        <f t="shared" ref="J68:J131" ca="1" si="20">C68+H68*I68</f>
        <v>4.1640002880671751</v>
      </c>
      <c r="K68" s="43">
        <f t="shared" ref="K68:K131" ca="1" si="21">G68^2-16*G68+2*J68^2-16*J68</f>
        <v>-95.241492416142663</v>
      </c>
      <c r="L68" s="42">
        <f t="shared" si="13"/>
        <v>8.5950445571714553E-4</v>
      </c>
      <c r="M68" s="42">
        <f ca="1">K68-D68</f>
        <v>-5.8139025967975044E-2</v>
      </c>
      <c r="N68" s="42">
        <f t="shared" ref="N68:N131" ca="1" si="22">M68/L68</f>
        <v>-67.642495139208478</v>
      </c>
      <c r="O68" s="42">
        <f t="shared" ref="O68:O131" ca="1" si="23">IF(M68&lt;0,1,EXP(-N68))</f>
        <v>1</v>
      </c>
      <c r="P68" s="42">
        <f t="shared" ref="P68:P131" ca="1" si="24">RAND()</f>
        <v>2.9218425900190304E-2</v>
      </c>
      <c r="Q68" s="44">
        <f ca="1">IF(M68&lt;0,G68,IF(P68&lt;O68,G68,B68))</f>
        <v>7.1605267158002528</v>
      </c>
      <c r="R68" s="44">
        <f ca="1">IF(N68&lt;0,J68,IF(P68&lt;O68,J68,C68))</f>
        <v>4.1640002880671751</v>
      </c>
      <c r="S68" s="44">
        <f t="shared" ref="S68:S131" ca="1" si="25">Q68^2-16*Q68+2*R68^2-16*R68</f>
        <v>-95.241492416142663</v>
      </c>
    </row>
    <row r="69" spans="1:19" x14ac:dyDescent="0.4">
      <c r="A69" s="42">
        <v>68</v>
      </c>
      <c r="B69" s="41">
        <f t="shared" ca="1" si="14"/>
        <v>7.1605267158002528</v>
      </c>
      <c r="C69" s="41">
        <f t="shared" ca="1" si="15"/>
        <v>4.1640002880671751</v>
      </c>
      <c r="D69" s="41">
        <f t="shared" ca="1" si="16"/>
        <v>-95.241492416142663</v>
      </c>
      <c r="E69" s="42">
        <f t="shared" ca="1" si="17"/>
        <v>0.99867274072525491</v>
      </c>
      <c r="F69" s="42">
        <v>0.5</v>
      </c>
      <c r="G69" s="43">
        <f t="shared" ca="1" si="18"/>
        <v>7.65986308616288</v>
      </c>
      <c r="H69" s="42">
        <f t="shared" ca="1" si="19"/>
        <v>-0.3192152510240347</v>
      </c>
      <c r="I69" s="42">
        <v>0.5</v>
      </c>
      <c r="J69" s="43">
        <f t="shared" ca="1" si="20"/>
        <v>4.0043926625551576</v>
      </c>
      <c r="K69" s="43">
        <f t="shared" ca="1" si="21"/>
        <v>-95.884268288876711</v>
      </c>
      <c r="L69" s="42">
        <f t="shared" si="13"/>
        <v>7.7355401014543102E-4</v>
      </c>
      <c r="M69" s="42">
        <f ca="1">K69-D69</f>
        <v>-0.6427758727340489</v>
      </c>
      <c r="N69" s="42">
        <f t="shared" ca="1" si="22"/>
        <v>-830.93858257318664</v>
      </c>
      <c r="O69" s="42">
        <f t="shared" ca="1" si="23"/>
        <v>1</v>
      </c>
      <c r="P69" s="42">
        <f t="shared" ca="1" si="24"/>
        <v>0.38713338394691321</v>
      </c>
      <c r="Q69" s="44">
        <f ca="1">IF(M69&lt;0,G69,IF(P69&lt;O69,G69,B69))</f>
        <v>7.65986308616288</v>
      </c>
      <c r="R69" s="44">
        <f ca="1">IF(N69&lt;0,J69,IF(P69&lt;O69,J69,C69))</f>
        <v>4.0043926625551576</v>
      </c>
      <c r="S69" s="44">
        <f t="shared" ca="1" si="25"/>
        <v>-95.884268288876711</v>
      </c>
    </row>
    <row r="70" spans="1:19" x14ac:dyDescent="0.4">
      <c r="A70" s="42">
        <v>69</v>
      </c>
      <c r="B70" s="41">
        <f t="shared" ca="1" si="14"/>
        <v>7.65986308616288</v>
      </c>
      <c r="C70" s="41">
        <f t="shared" ca="1" si="15"/>
        <v>4.0043926625551576</v>
      </c>
      <c r="D70" s="41">
        <f t="shared" ca="1" si="16"/>
        <v>-95.884268288876711</v>
      </c>
      <c r="E70" s="42">
        <f t="shared" ca="1" si="17"/>
        <v>0.26693964754708599</v>
      </c>
      <c r="F70" s="42">
        <v>0.5</v>
      </c>
      <c r="G70" s="43">
        <f t="shared" ca="1" si="18"/>
        <v>7.7933329099364226</v>
      </c>
      <c r="H70" s="42">
        <f t="shared" ca="1" si="19"/>
        <v>0.97927316848190782</v>
      </c>
      <c r="I70" s="42">
        <v>0.5</v>
      </c>
      <c r="J70" s="43">
        <f t="shared" ca="1" si="20"/>
        <v>4.4940292467961118</v>
      </c>
      <c r="K70" s="43">
        <f t="shared" ca="1" si="21"/>
        <v>-95.469158920504782</v>
      </c>
      <c r="L70" s="42">
        <f t="shared" si="13"/>
        <v>6.9619860913088796E-4</v>
      </c>
      <c r="M70" s="42">
        <f ca="1">K70-D70</f>
        <v>0.41510936837192958</v>
      </c>
      <c r="N70" s="42">
        <f t="shared" ca="1" si="22"/>
        <v>596.25136121736705</v>
      </c>
      <c r="O70" s="42">
        <f t="shared" ca="1" si="23"/>
        <v>1.1254442741898591E-259</v>
      </c>
      <c r="P70" s="42">
        <f t="shared" ca="1" si="24"/>
        <v>0.75339900590465558</v>
      </c>
      <c r="Q70" s="44">
        <f ca="1">IF(M70&lt;0,G70,IF(P70&lt;O70,G70,B70))</f>
        <v>7.65986308616288</v>
      </c>
      <c r="R70" s="44">
        <f ca="1">IF(N70&lt;0,J70,IF(P70&lt;O70,J70,C70))</f>
        <v>4.0043926625551576</v>
      </c>
      <c r="S70" s="44">
        <f t="shared" ca="1" si="25"/>
        <v>-95.884268288876711</v>
      </c>
    </row>
    <row r="71" spans="1:19" x14ac:dyDescent="0.4">
      <c r="A71" s="42">
        <v>70</v>
      </c>
      <c r="B71" s="41">
        <f t="shared" ca="1" si="14"/>
        <v>7.65986308616288</v>
      </c>
      <c r="C71" s="41">
        <f t="shared" ca="1" si="15"/>
        <v>4.0043926625551576</v>
      </c>
      <c r="D71" s="41">
        <f t="shared" ca="1" si="16"/>
        <v>-95.884268288876711</v>
      </c>
      <c r="E71" s="42">
        <f t="shared" ca="1" si="17"/>
        <v>0.75660683413119889</v>
      </c>
      <c r="F71" s="42">
        <v>0.5</v>
      </c>
      <c r="G71" s="43">
        <f t="shared" ca="1" si="18"/>
        <v>8.0381665032284797</v>
      </c>
      <c r="H71" s="42">
        <f t="shared" ca="1" si="19"/>
        <v>0.27934452778776842</v>
      </c>
      <c r="I71" s="42">
        <v>0.5</v>
      </c>
      <c r="J71" s="43">
        <f t="shared" ca="1" si="20"/>
        <v>4.1440649264490421</v>
      </c>
      <c r="K71" s="43">
        <f t="shared" ca="1" si="21"/>
        <v>-95.957033911965766</v>
      </c>
      <c r="L71" s="42">
        <f t="shared" si="13"/>
        <v>6.2657874821779916E-4</v>
      </c>
      <c r="M71" s="42">
        <f ca="1">K71-D71</f>
        <v>-7.2765623089054543E-2</v>
      </c>
      <c r="N71" s="42">
        <f t="shared" ca="1" si="22"/>
        <v>-116.13164872894981</v>
      </c>
      <c r="O71" s="42">
        <f t="shared" ca="1" si="23"/>
        <v>1</v>
      </c>
      <c r="P71" s="42">
        <f t="shared" ca="1" si="24"/>
        <v>0.98998159668786612</v>
      </c>
      <c r="Q71" s="44">
        <f ca="1">IF(M71&lt;0,G71,IF(P71&lt;O71,G71,B71))</f>
        <v>8.0381665032284797</v>
      </c>
      <c r="R71" s="44">
        <f ca="1">IF(N71&lt;0,J71,IF(P71&lt;O71,J71,C71))</f>
        <v>4.1440649264490421</v>
      </c>
      <c r="S71" s="44">
        <f t="shared" ca="1" si="25"/>
        <v>-95.957033911965766</v>
      </c>
    </row>
    <row r="72" spans="1:19" x14ac:dyDescent="0.4">
      <c r="A72" s="42">
        <v>71</v>
      </c>
      <c r="B72" s="41">
        <f t="shared" ca="1" si="14"/>
        <v>8.0381665032284797</v>
      </c>
      <c r="C72" s="41">
        <f t="shared" ca="1" si="15"/>
        <v>4.1440649264490421</v>
      </c>
      <c r="D72" s="41">
        <f t="shared" ca="1" si="16"/>
        <v>-95.957033911965766</v>
      </c>
      <c r="E72" s="42">
        <f t="shared" ca="1" si="17"/>
        <v>0.78265878268975819</v>
      </c>
      <c r="F72" s="42">
        <v>0.5</v>
      </c>
      <c r="G72" s="43">
        <f t="shared" ca="1" si="18"/>
        <v>8.4294958945733587</v>
      </c>
      <c r="H72" s="42">
        <f t="shared" ca="1" si="19"/>
        <v>-0.7638328103479004</v>
      </c>
      <c r="I72" s="42">
        <v>0.5</v>
      </c>
      <c r="J72" s="43">
        <f t="shared" ca="1" si="20"/>
        <v>3.7621485212750918</v>
      </c>
      <c r="K72" s="43">
        <f t="shared" ca="1" si="21"/>
        <v>-95.702386624681367</v>
      </c>
      <c r="L72" s="42">
        <f t="shared" si="13"/>
        <v>5.6392087339601923E-4</v>
      </c>
      <c r="M72" s="42">
        <f ca="1">K72-D72</f>
        <v>0.25464728728439923</v>
      </c>
      <c r="N72" s="42">
        <f t="shared" ca="1" si="22"/>
        <v>451.56563499923959</v>
      </c>
      <c r="O72" s="42">
        <f t="shared" ca="1" si="23"/>
        <v>7.7185638781662559E-197</v>
      </c>
      <c r="P72" s="42">
        <f t="shared" ca="1" si="24"/>
        <v>0.94558864311298607</v>
      </c>
      <c r="Q72" s="44">
        <f ca="1">IF(M72&lt;0,G72,IF(P72&lt;O72,G72,B72))</f>
        <v>8.0381665032284797</v>
      </c>
      <c r="R72" s="44">
        <f ca="1">IF(N72&lt;0,J72,IF(P72&lt;O72,J72,C72))</f>
        <v>4.1440649264490421</v>
      </c>
      <c r="S72" s="44">
        <f t="shared" ca="1" si="25"/>
        <v>-95.957033911965766</v>
      </c>
    </row>
    <row r="73" spans="1:19" x14ac:dyDescent="0.4">
      <c r="A73" s="42">
        <v>72</v>
      </c>
      <c r="B73" s="41">
        <f t="shared" ca="1" si="14"/>
        <v>8.0381665032284797</v>
      </c>
      <c r="C73" s="41">
        <f t="shared" ca="1" si="15"/>
        <v>4.1440649264490421</v>
      </c>
      <c r="D73" s="41">
        <f t="shared" ca="1" si="16"/>
        <v>-95.957033911965766</v>
      </c>
      <c r="E73" s="42">
        <f t="shared" ca="1" si="17"/>
        <v>0.44609421975807417</v>
      </c>
      <c r="F73" s="42">
        <v>0.5</v>
      </c>
      <c r="G73" s="43">
        <f t="shared" ca="1" si="18"/>
        <v>8.2612136131075165</v>
      </c>
      <c r="H73" s="42">
        <f t="shared" ca="1" si="19"/>
        <v>0.32323641257830715</v>
      </c>
      <c r="I73" s="42">
        <v>0.5</v>
      </c>
      <c r="J73" s="43">
        <f t="shared" ca="1" si="20"/>
        <v>4.3056831327381957</v>
      </c>
      <c r="K73" s="43">
        <f t="shared" ca="1" si="21"/>
        <v>-95.744883093046042</v>
      </c>
      <c r="L73" s="42">
        <f t="shared" si="13"/>
        <v>5.0752878605641737E-4</v>
      </c>
      <c r="M73" s="42">
        <f ca="1">K73-D73</f>
        <v>0.21215081891972432</v>
      </c>
      <c r="N73" s="42">
        <f t="shared" ca="1" si="22"/>
        <v>418.00746036135462</v>
      </c>
      <c r="O73" s="42">
        <f t="shared" ca="1" si="23"/>
        <v>2.8951200075811501E-182</v>
      </c>
      <c r="P73" s="42">
        <f t="shared" ca="1" si="24"/>
        <v>0.25849894330786993</v>
      </c>
      <c r="Q73" s="44">
        <f ca="1">IF(M73&lt;0,G73,IF(P73&lt;O73,G73,B73))</f>
        <v>8.0381665032284797</v>
      </c>
      <c r="R73" s="44">
        <f ca="1">IF(N73&lt;0,J73,IF(P73&lt;O73,J73,C73))</f>
        <v>4.1440649264490421</v>
      </c>
      <c r="S73" s="44">
        <f t="shared" ca="1" si="25"/>
        <v>-95.957033911965766</v>
      </c>
    </row>
    <row r="74" spans="1:19" x14ac:dyDescent="0.4">
      <c r="A74" s="42">
        <v>73</v>
      </c>
      <c r="B74" s="41">
        <f t="shared" ca="1" si="14"/>
        <v>8.0381665032284797</v>
      </c>
      <c r="C74" s="41">
        <f t="shared" ca="1" si="15"/>
        <v>4.1440649264490421</v>
      </c>
      <c r="D74" s="41">
        <f t="shared" ca="1" si="16"/>
        <v>-95.957033911965766</v>
      </c>
      <c r="E74" s="42">
        <f t="shared" ca="1" si="17"/>
        <v>0.27537165579956158</v>
      </c>
      <c r="F74" s="42">
        <v>0.5</v>
      </c>
      <c r="G74" s="43">
        <f t="shared" ca="1" si="18"/>
        <v>8.1758523311282598</v>
      </c>
      <c r="H74" s="42">
        <f t="shared" ca="1" si="19"/>
        <v>-0.26864623912399144</v>
      </c>
      <c r="I74" s="42">
        <v>0.5</v>
      </c>
      <c r="J74" s="43">
        <f t="shared" ca="1" si="20"/>
        <v>4.0097418068870461</v>
      </c>
      <c r="K74" s="43">
        <f t="shared" ca="1" si="21"/>
        <v>-95.968886152033917</v>
      </c>
      <c r="L74" s="42">
        <f t="shared" si="13"/>
        <v>4.5677590745077563E-4</v>
      </c>
      <c r="M74" s="42">
        <f ca="1">K74-D74</f>
        <v>-1.1852240068151332E-2</v>
      </c>
      <c r="N74" s="42">
        <f t="shared" ca="1" si="22"/>
        <v>-25.947603353901904</v>
      </c>
      <c r="O74" s="42">
        <f t="shared" ca="1" si="23"/>
        <v>1</v>
      </c>
      <c r="P74" s="42">
        <f t="shared" ca="1" si="24"/>
        <v>0.30467742811320042</v>
      </c>
      <c r="Q74" s="44">
        <f ca="1">IF(M74&lt;0,G74,IF(P74&lt;O74,G74,B74))</f>
        <v>8.1758523311282598</v>
      </c>
      <c r="R74" s="44">
        <f ca="1">IF(N74&lt;0,J74,IF(P74&lt;O74,J74,C74))</f>
        <v>4.0097418068870461</v>
      </c>
      <c r="S74" s="44">
        <f t="shared" ca="1" si="25"/>
        <v>-95.968886152033917</v>
      </c>
    </row>
    <row r="75" spans="1:19" x14ac:dyDescent="0.4">
      <c r="A75" s="42">
        <v>74</v>
      </c>
      <c r="B75" s="41">
        <f t="shared" ca="1" si="14"/>
        <v>8.1758523311282598</v>
      </c>
      <c r="C75" s="41">
        <f t="shared" ca="1" si="15"/>
        <v>4.0097418068870461</v>
      </c>
      <c r="D75" s="41">
        <f t="shared" ca="1" si="16"/>
        <v>-95.968886152033917</v>
      </c>
      <c r="E75" s="42">
        <f t="shared" ca="1" si="17"/>
        <v>-0.23860449527931293</v>
      </c>
      <c r="F75" s="42">
        <v>0.5</v>
      </c>
      <c r="G75" s="43">
        <f t="shared" ca="1" si="18"/>
        <v>8.0565500834886041</v>
      </c>
      <c r="H75" s="42">
        <f t="shared" ca="1" si="19"/>
        <v>0.99431647032022674</v>
      </c>
      <c r="I75" s="42">
        <v>0.5</v>
      </c>
      <c r="J75" s="43">
        <f t="shared" ca="1" si="20"/>
        <v>4.5069000420471594</v>
      </c>
      <c r="K75" s="43">
        <f t="shared" ca="1" si="21"/>
        <v>-95.482906782802615</v>
      </c>
      <c r="L75" s="42">
        <f t="shared" si="13"/>
        <v>4.1109831670569811E-4</v>
      </c>
      <c r="M75" s="42">
        <f ca="1">K75-D75</f>
        <v>0.48597936923130192</v>
      </c>
      <c r="N75" s="42">
        <f t="shared" ca="1" si="22"/>
        <v>1182.1487694857444</v>
      </c>
      <c r="O75" s="42">
        <f t="shared" ca="1" si="23"/>
        <v>0</v>
      </c>
      <c r="P75" s="42">
        <f t="shared" ca="1" si="24"/>
        <v>0.89163697495405392</v>
      </c>
      <c r="Q75" s="44">
        <f ca="1">IF(M75&lt;0,G75,IF(P75&lt;O75,G75,B75))</f>
        <v>8.1758523311282598</v>
      </c>
      <c r="R75" s="44">
        <f ca="1">IF(N75&lt;0,J75,IF(P75&lt;O75,J75,C75))</f>
        <v>4.0097418068870461</v>
      </c>
      <c r="S75" s="44">
        <f t="shared" ca="1" si="25"/>
        <v>-95.968886152033917</v>
      </c>
    </row>
    <row r="76" spans="1:19" x14ac:dyDescent="0.4">
      <c r="A76" s="42">
        <v>75</v>
      </c>
      <c r="B76" s="41">
        <f t="shared" ca="1" si="14"/>
        <v>8.1758523311282598</v>
      </c>
      <c r="C76" s="41">
        <f t="shared" ca="1" si="15"/>
        <v>4.0097418068870461</v>
      </c>
      <c r="D76" s="41">
        <f t="shared" ca="1" si="16"/>
        <v>-95.968886152033917</v>
      </c>
      <c r="E76" s="42">
        <f t="shared" ca="1" si="17"/>
        <v>0.82728259879697541</v>
      </c>
      <c r="F76" s="42">
        <v>0.5</v>
      </c>
      <c r="G76" s="43">
        <f t="shared" ca="1" si="18"/>
        <v>8.5894936305267482</v>
      </c>
      <c r="H76" s="42">
        <f t="shared" ca="1" si="19"/>
        <v>0.47329941896989181</v>
      </c>
      <c r="I76" s="42">
        <v>0.5</v>
      </c>
      <c r="J76" s="43">
        <f t="shared" ca="1" si="20"/>
        <v>4.2463915163719923</v>
      </c>
      <c r="K76" s="43">
        <f t="shared" ca="1" si="21"/>
        <v>-95.531079700888213</v>
      </c>
      <c r="L76" s="42">
        <f t="shared" si="13"/>
        <v>3.6998848503512835E-4</v>
      </c>
      <c r="M76" s="42">
        <f ca="1">K76-D76</f>
        <v>0.43780645114570405</v>
      </c>
      <c r="N76" s="42">
        <f t="shared" ca="1" si="22"/>
        <v>1183.2975047970392</v>
      </c>
      <c r="O76" s="42">
        <f t="shared" ca="1" si="23"/>
        <v>0</v>
      </c>
      <c r="P76" s="42">
        <f t="shared" ca="1" si="24"/>
        <v>0.54203095633601883</v>
      </c>
      <c r="Q76" s="44">
        <f ca="1">IF(M76&lt;0,G76,IF(P76&lt;O76,G76,B76))</f>
        <v>8.1758523311282598</v>
      </c>
      <c r="R76" s="44">
        <f ca="1">IF(N76&lt;0,J76,IF(P76&lt;O76,J76,C76))</f>
        <v>4.0097418068870461</v>
      </c>
      <c r="S76" s="44">
        <f t="shared" ca="1" si="25"/>
        <v>-95.968886152033917</v>
      </c>
    </row>
    <row r="77" spans="1:19" x14ac:dyDescent="0.4">
      <c r="A77" s="42">
        <v>76</v>
      </c>
      <c r="B77" s="41">
        <f t="shared" ca="1" si="14"/>
        <v>8.1758523311282598</v>
      </c>
      <c r="C77" s="41">
        <f t="shared" ca="1" si="15"/>
        <v>4.0097418068870461</v>
      </c>
      <c r="D77" s="41">
        <f t="shared" ca="1" si="16"/>
        <v>-95.968886152033917</v>
      </c>
      <c r="E77" s="42">
        <f t="shared" ca="1" si="17"/>
        <v>-0.69794017936069985</v>
      </c>
      <c r="F77" s="42">
        <v>0.5</v>
      </c>
      <c r="G77" s="43">
        <f t="shared" ca="1" si="18"/>
        <v>7.82688224144791</v>
      </c>
      <c r="H77" s="42">
        <f t="shared" ca="1" si="19"/>
        <v>0.6435500333465507</v>
      </c>
      <c r="I77" s="42">
        <v>0.5</v>
      </c>
      <c r="J77" s="43">
        <f t="shared" ca="1" si="20"/>
        <v>4.331516823560321</v>
      </c>
      <c r="K77" s="43">
        <f t="shared" ca="1" si="21"/>
        <v>-95.75022343306685</v>
      </c>
      <c r="L77" s="42">
        <f t="shared" si="13"/>
        <v>3.3298963653161551E-4</v>
      </c>
      <c r="M77" s="42">
        <f ca="1">K77-D77</f>
        <v>0.21866271896706735</v>
      </c>
      <c r="N77" s="42">
        <f t="shared" ca="1" si="22"/>
        <v>656.6652381276333</v>
      </c>
      <c r="O77" s="42">
        <f t="shared" ca="1" si="23"/>
        <v>6.5149430466854561E-286</v>
      </c>
      <c r="P77" s="42">
        <f t="shared" ca="1" si="24"/>
        <v>7.4620295628039623E-2</v>
      </c>
      <c r="Q77" s="44">
        <f ca="1">IF(M77&lt;0,G77,IF(P77&lt;O77,G77,B77))</f>
        <v>8.1758523311282598</v>
      </c>
      <c r="R77" s="44">
        <f ca="1">IF(N77&lt;0,J77,IF(P77&lt;O77,J77,C77))</f>
        <v>4.0097418068870461</v>
      </c>
      <c r="S77" s="44">
        <f t="shared" ca="1" si="25"/>
        <v>-95.968886152033917</v>
      </c>
    </row>
    <row r="78" spans="1:19" x14ac:dyDescent="0.4">
      <c r="A78" s="42">
        <v>77</v>
      </c>
      <c r="B78" s="41">
        <f t="shared" ca="1" si="14"/>
        <v>8.1758523311282598</v>
      </c>
      <c r="C78" s="41">
        <f t="shared" ca="1" si="15"/>
        <v>4.0097418068870461</v>
      </c>
      <c r="D78" s="41">
        <f t="shared" ca="1" si="16"/>
        <v>-95.968886152033917</v>
      </c>
      <c r="E78" s="42">
        <f t="shared" ca="1" si="17"/>
        <v>-0.33884389224821487</v>
      </c>
      <c r="F78" s="42">
        <v>0.5</v>
      </c>
      <c r="G78" s="43">
        <f t="shared" ca="1" si="18"/>
        <v>8.0064303850041529</v>
      </c>
      <c r="H78" s="42">
        <f t="shared" ca="1" si="19"/>
        <v>6.4737505504760096E-2</v>
      </c>
      <c r="I78" s="42">
        <v>0.5</v>
      </c>
      <c r="J78" s="43">
        <f t="shared" ca="1" si="20"/>
        <v>4.0421105596394264</v>
      </c>
      <c r="K78" s="43">
        <f t="shared" ca="1" si="21"/>
        <v>-95.996412051682398</v>
      </c>
      <c r="L78" s="42">
        <f t="shared" si="13"/>
        <v>2.9969067287845399E-4</v>
      </c>
      <c r="M78" s="42">
        <f ca="1">K78-D78</f>
        <v>-2.7525899648480845E-2</v>
      </c>
      <c r="N78" s="42">
        <f t="shared" ca="1" si="22"/>
        <v>-91.847702112653224</v>
      </c>
      <c r="O78" s="42">
        <f t="shared" ca="1" si="23"/>
        <v>1</v>
      </c>
      <c r="P78" s="42">
        <f t="shared" ca="1" si="24"/>
        <v>0.26004930169021845</v>
      </c>
      <c r="Q78" s="44">
        <f ca="1">IF(M78&lt;0,G78,IF(P78&lt;O78,G78,B78))</f>
        <v>8.0064303850041529</v>
      </c>
      <c r="R78" s="44">
        <f ca="1">IF(N78&lt;0,J78,IF(P78&lt;O78,J78,C78))</f>
        <v>4.0421105596394264</v>
      </c>
      <c r="S78" s="44">
        <f t="shared" ca="1" si="25"/>
        <v>-95.996412051682398</v>
      </c>
    </row>
    <row r="79" spans="1:19" x14ac:dyDescent="0.4">
      <c r="A79" s="42">
        <v>78</v>
      </c>
      <c r="B79" s="41">
        <f t="shared" ca="1" si="14"/>
        <v>8.0064303850041529</v>
      </c>
      <c r="C79" s="41">
        <f t="shared" ca="1" si="15"/>
        <v>4.0421105596394264</v>
      </c>
      <c r="D79" s="41">
        <f t="shared" ca="1" si="16"/>
        <v>-95.996412051682398</v>
      </c>
      <c r="E79" s="42">
        <f t="shared" ca="1" si="17"/>
        <v>-0.63765103310969584</v>
      </c>
      <c r="F79" s="42">
        <v>0.5</v>
      </c>
      <c r="G79" s="43">
        <f t="shared" ca="1" si="18"/>
        <v>7.6876048684493048</v>
      </c>
      <c r="H79" s="42">
        <f t="shared" ca="1" si="19"/>
        <v>0.81857149733027468</v>
      </c>
      <c r="I79" s="42">
        <v>0.5</v>
      </c>
      <c r="J79" s="43">
        <f t="shared" ca="1" si="20"/>
        <v>4.451396308304564</v>
      </c>
      <c r="K79" s="43">
        <f t="shared" ca="1" si="21"/>
        <v>-95.494892027481455</v>
      </c>
      <c r="L79" s="42">
        <f t="shared" si="13"/>
        <v>2.6972160559060859E-4</v>
      </c>
      <c r="M79" s="42">
        <f ca="1">K79-D79</f>
        <v>0.50152002420094277</v>
      </c>
      <c r="N79" s="42">
        <f t="shared" ca="1" si="22"/>
        <v>1859.3987793553501</v>
      </c>
      <c r="O79" s="42">
        <f t="shared" ca="1" si="23"/>
        <v>0</v>
      </c>
      <c r="P79" s="42">
        <f t="shared" ca="1" si="24"/>
        <v>0.12667118164988111</v>
      </c>
      <c r="Q79" s="44">
        <f ca="1">IF(M79&lt;0,G79,IF(P79&lt;O79,G79,B79))</f>
        <v>8.0064303850041529</v>
      </c>
      <c r="R79" s="44">
        <f ca="1">IF(N79&lt;0,J79,IF(P79&lt;O79,J79,C79))</f>
        <v>4.0421105596394264</v>
      </c>
      <c r="S79" s="44">
        <f t="shared" ca="1" si="25"/>
        <v>-95.996412051682398</v>
      </c>
    </row>
    <row r="80" spans="1:19" x14ac:dyDescent="0.4">
      <c r="A80" s="42">
        <v>79</v>
      </c>
      <c r="B80" s="41">
        <f t="shared" ca="1" si="14"/>
        <v>8.0064303850041529</v>
      </c>
      <c r="C80" s="41">
        <f t="shared" ca="1" si="15"/>
        <v>4.0421105596394264</v>
      </c>
      <c r="D80" s="41">
        <f t="shared" ca="1" si="16"/>
        <v>-95.996412051682398</v>
      </c>
      <c r="E80" s="42">
        <f t="shared" ca="1" si="17"/>
        <v>-0.54896187970083599</v>
      </c>
      <c r="F80" s="42">
        <v>0.5</v>
      </c>
      <c r="G80" s="43">
        <f t="shared" ca="1" si="18"/>
        <v>7.7319494451537345</v>
      </c>
      <c r="H80" s="42">
        <f t="shared" ca="1" si="19"/>
        <v>-0.60977209612645278</v>
      </c>
      <c r="I80" s="42">
        <v>0.5</v>
      </c>
      <c r="J80" s="43">
        <f t="shared" ca="1" si="20"/>
        <v>3.7372245115761999</v>
      </c>
      <c r="K80" s="43">
        <f t="shared" ca="1" si="21"/>
        <v>-95.790046985413881</v>
      </c>
      <c r="L80" s="42">
        <f t="shared" si="13"/>
        <v>2.4274944503154772E-4</v>
      </c>
      <c r="M80" s="42">
        <f ca="1">K80-D80</f>
        <v>0.20636506626851769</v>
      </c>
      <c r="N80" s="42">
        <f t="shared" ca="1" si="22"/>
        <v>850.11550177467336</v>
      </c>
      <c r="O80" s="42">
        <f t="shared" ca="1" si="23"/>
        <v>0</v>
      </c>
      <c r="P80" s="42">
        <f t="shared" ca="1" si="24"/>
        <v>0.675652829873018</v>
      </c>
      <c r="Q80" s="44">
        <f ca="1">IF(M80&lt;0,G80,IF(P80&lt;O80,G80,B80))</f>
        <v>8.0064303850041529</v>
      </c>
      <c r="R80" s="44">
        <f ca="1">IF(N80&lt;0,J80,IF(P80&lt;O80,J80,C80))</f>
        <v>4.0421105596394264</v>
      </c>
      <c r="S80" s="44">
        <f t="shared" ca="1" si="25"/>
        <v>-95.996412051682398</v>
      </c>
    </row>
    <row r="81" spans="1:19" x14ac:dyDescent="0.4">
      <c r="A81" s="42">
        <v>80</v>
      </c>
      <c r="B81" s="41">
        <f t="shared" ca="1" si="14"/>
        <v>8.0064303850041529</v>
      </c>
      <c r="C81" s="41">
        <f t="shared" ca="1" si="15"/>
        <v>4.0421105596394264</v>
      </c>
      <c r="D81" s="41">
        <f t="shared" ca="1" si="16"/>
        <v>-95.996412051682398</v>
      </c>
      <c r="E81" s="42">
        <f t="shared" ca="1" si="17"/>
        <v>0.97271202409058488</v>
      </c>
      <c r="F81" s="42">
        <v>0.5</v>
      </c>
      <c r="G81" s="43">
        <f t="shared" ca="1" si="18"/>
        <v>8.4927863970494446</v>
      </c>
      <c r="H81" s="42">
        <f t="shared" ca="1" si="19"/>
        <v>0.20425722415650172</v>
      </c>
      <c r="I81" s="42">
        <v>0.5</v>
      </c>
      <c r="J81" s="43">
        <f t="shared" ca="1" si="20"/>
        <v>4.1442391717176772</v>
      </c>
      <c r="K81" s="43">
        <f t="shared" ca="1" si="21"/>
        <v>-95.715551689567434</v>
      </c>
      <c r="L81" s="42">
        <f t="shared" si="13"/>
        <v>2.1847450052839298E-4</v>
      </c>
      <c r="M81" s="42">
        <f ca="1">K81-D81</f>
        <v>0.28086036211496435</v>
      </c>
      <c r="N81" s="42">
        <f t="shared" ca="1" si="22"/>
        <v>1285.5521419464862</v>
      </c>
      <c r="O81" s="42">
        <f t="shared" ca="1" si="23"/>
        <v>0</v>
      </c>
      <c r="P81" s="42">
        <f t="shared" ca="1" si="24"/>
        <v>0.13909218168308435</v>
      </c>
      <c r="Q81" s="44">
        <f ca="1">IF(M81&lt;0,G81,IF(P81&lt;O81,G81,B81))</f>
        <v>8.0064303850041529</v>
      </c>
      <c r="R81" s="44">
        <f ca="1">IF(N81&lt;0,J81,IF(P81&lt;O81,J81,C81))</f>
        <v>4.0421105596394264</v>
      </c>
      <c r="S81" s="44">
        <f t="shared" ca="1" si="25"/>
        <v>-95.996412051682398</v>
      </c>
    </row>
    <row r="82" spans="1:19" x14ac:dyDescent="0.4">
      <c r="A82" s="42">
        <v>81</v>
      </c>
      <c r="B82" s="41">
        <f t="shared" ca="1" si="14"/>
        <v>8.0064303850041529</v>
      </c>
      <c r="C82" s="41">
        <f t="shared" ca="1" si="15"/>
        <v>4.0421105596394264</v>
      </c>
      <c r="D82" s="41">
        <f t="shared" ca="1" si="16"/>
        <v>-95.996412051682398</v>
      </c>
      <c r="E82" s="42">
        <f t="shared" ca="1" si="17"/>
        <v>-0.71926766557255828</v>
      </c>
      <c r="F82" s="42">
        <v>0.5</v>
      </c>
      <c r="G82" s="43">
        <f t="shared" ca="1" si="18"/>
        <v>7.6467965522178734</v>
      </c>
      <c r="H82" s="42">
        <f t="shared" ca="1" si="19"/>
        <v>0.42120471639847623</v>
      </c>
      <c r="I82" s="42">
        <v>0.5</v>
      </c>
      <c r="J82" s="43">
        <f t="shared" ca="1" si="20"/>
        <v>4.2527129178386645</v>
      </c>
      <c r="K82" s="43">
        <f t="shared" ca="1" si="21"/>
        <v>-95.747519686789758</v>
      </c>
      <c r="L82" s="42">
        <f t="shared" si="13"/>
        <v>1.966270504755537E-4</v>
      </c>
      <c r="M82" s="42">
        <f ca="1">K82-D82</f>
        <v>0.24889236489264022</v>
      </c>
      <c r="N82" s="42">
        <f t="shared" ca="1" si="22"/>
        <v>1265.8093801980954</v>
      </c>
      <c r="O82" s="42">
        <f t="shared" ca="1" si="23"/>
        <v>0</v>
      </c>
      <c r="P82" s="42">
        <f t="shared" ca="1" si="24"/>
        <v>0.85384059144640345</v>
      </c>
      <c r="Q82" s="44">
        <f ca="1">IF(M82&lt;0,G82,IF(P82&lt;O82,G82,B82))</f>
        <v>8.0064303850041529</v>
      </c>
      <c r="R82" s="44">
        <f ca="1">IF(N82&lt;0,J82,IF(P82&lt;O82,J82,C82))</f>
        <v>4.0421105596394264</v>
      </c>
      <c r="S82" s="44">
        <f t="shared" ca="1" si="25"/>
        <v>-95.996412051682398</v>
      </c>
    </row>
    <row r="83" spans="1:19" x14ac:dyDescent="0.4">
      <c r="A83" s="42">
        <v>82</v>
      </c>
      <c r="B83" s="41">
        <f t="shared" ca="1" si="14"/>
        <v>8.0064303850041529</v>
      </c>
      <c r="C83" s="41">
        <f t="shared" ca="1" si="15"/>
        <v>4.0421105596394264</v>
      </c>
      <c r="D83" s="41">
        <f t="shared" ca="1" si="16"/>
        <v>-95.996412051682398</v>
      </c>
      <c r="E83" s="42">
        <f t="shared" ca="1" si="17"/>
        <v>0.32870444232844198</v>
      </c>
      <c r="F83" s="42">
        <v>0.5</v>
      </c>
      <c r="G83" s="43">
        <f t="shared" ca="1" si="18"/>
        <v>8.1707826061683733</v>
      </c>
      <c r="H83" s="42">
        <f t="shared" ca="1" si="19"/>
        <v>-0.41937177167573925</v>
      </c>
      <c r="I83" s="42">
        <v>0.5</v>
      </c>
      <c r="J83" s="43">
        <f t="shared" ca="1" si="20"/>
        <v>3.8324246738015568</v>
      </c>
      <c r="K83" s="43">
        <f t="shared" ca="1" si="21"/>
        <v>-95.914670321529314</v>
      </c>
      <c r="L83" s="42">
        <f t="shared" si="13"/>
        <v>1.7696434542799832E-4</v>
      </c>
      <c r="M83" s="42">
        <f ca="1">K83-D83</f>
        <v>8.1741730153083836E-2</v>
      </c>
      <c r="N83" s="42">
        <f t="shared" ca="1" si="22"/>
        <v>461.91073097457468</v>
      </c>
      <c r="O83" s="42">
        <f t="shared" ca="1" si="23"/>
        <v>2.4815235772979875E-201</v>
      </c>
      <c r="P83" s="42">
        <f t="shared" ca="1" si="24"/>
        <v>0.72744309308818955</v>
      </c>
      <c r="Q83" s="44">
        <f ca="1">IF(M83&lt;0,G83,IF(P83&lt;O83,G83,B83))</f>
        <v>8.0064303850041529</v>
      </c>
      <c r="R83" s="44">
        <f ca="1">IF(N83&lt;0,J83,IF(P83&lt;O83,J83,C83))</f>
        <v>4.0421105596394264</v>
      </c>
      <c r="S83" s="44">
        <f t="shared" ca="1" si="25"/>
        <v>-95.996412051682398</v>
      </c>
    </row>
    <row r="84" spans="1:19" x14ac:dyDescent="0.4">
      <c r="A84" s="42">
        <v>83</v>
      </c>
      <c r="B84" s="41">
        <f t="shared" ca="1" si="14"/>
        <v>8.0064303850041529</v>
      </c>
      <c r="C84" s="41">
        <f t="shared" ca="1" si="15"/>
        <v>4.0421105596394264</v>
      </c>
      <c r="D84" s="41">
        <f t="shared" ca="1" si="16"/>
        <v>-95.996412051682398</v>
      </c>
      <c r="E84" s="42">
        <f t="shared" ca="1" si="17"/>
        <v>-7.0916166069001862E-2</v>
      </c>
      <c r="F84" s="42">
        <v>0.5</v>
      </c>
      <c r="G84" s="43">
        <f t="shared" ca="1" si="18"/>
        <v>7.9709723019696517</v>
      </c>
      <c r="H84" s="42">
        <f t="shared" ca="1" si="19"/>
        <v>0.42571863447150915</v>
      </c>
      <c r="I84" s="42">
        <v>0.5</v>
      </c>
      <c r="J84" s="43">
        <f t="shared" ca="1" si="20"/>
        <v>4.2549698768751814</v>
      </c>
      <c r="K84" s="43">
        <f t="shared" ca="1" si="21"/>
        <v>-95.869138116519565</v>
      </c>
      <c r="L84" s="42">
        <f t="shared" si="13"/>
        <v>1.592679108851985E-4</v>
      </c>
      <c r="M84" s="42">
        <f ca="1">K84-D84</f>
        <v>0.12727393516283314</v>
      </c>
      <c r="N84" s="42">
        <f t="shared" ca="1" si="22"/>
        <v>799.11850702036986</v>
      </c>
      <c r="O84" s="42">
        <f t="shared" ca="1" si="23"/>
        <v>0</v>
      </c>
      <c r="P84" s="42">
        <f t="shared" ca="1" si="24"/>
        <v>0.51590381951364883</v>
      </c>
      <c r="Q84" s="44">
        <f ca="1">IF(M84&lt;0,G84,IF(P84&lt;O84,G84,B84))</f>
        <v>8.0064303850041529</v>
      </c>
      <c r="R84" s="44">
        <f ca="1">IF(N84&lt;0,J84,IF(P84&lt;O84,J84,C84))</f>
        <v>4.0421105596394264</v>
      </c>
      <c r="S84" s="44">
        <f t="shared" ca="1" si="25"/>
        <v>-95.996412051682398</v>
      </c>
    </row>
    <row r="85" spans="1:19" x14ac:dyDescent="0.4">
      <c r="A85" s="42">
        <v>84</v>
      </c>
      <c r="B85" s="41">
        <f t="shared" ca="1" si="14"/>
        <v>8.0064303850041529</v>
      </c>
      <c r="C85" s="41">
        <f t="shared" ca="1" si="15"/>
        <v>4.0421105596394264</v>
      </c>
      <c r="D85" s="41">
        <f t="shared" ca="1" si="16"/>
        <v>-95.996412051682398</v>
      </c>
      <c r="E85" s="42">
        <f t="shared" ca="1" si="17"/>
        <v>-0.23959590572061784</v>
      </c>
      <c r="F85" s="42">
        <v>0.5</v>
      </c>
      <c r="G85" s="43">
        <f t="shared" ca="1" si="18"/>
        <v>7.8866324321438439</v>
      </c>
      <c r="H85" s="42">
        <f t="shared" ca="1" si="19"/>
        <v>-0.61123066869497023</v>
      </c>
      <c r="I85" s="42">
        <v>0.5</v>
      </c>
      <c r="J85" s="43">
        <f t="shared" ca="1" si="20"/>
        <v>3.7364952252919412</v>
      </c>
      <c r="K85" s="43">
        <f t="shared" ca="1" si="21"/>
        <v>-95.848278261970492</v>
      </c>
      <c r="L85" s="42">
        <f t="shared" si="13"/>
        <v>1.4334111979667866E-4</v>
      </c>
      <c r="M85" s="42">
        <f ca="1">K85-D85</f>
        <v>0.14813378971190616</v>
      </c>
      <c r="N85" s="42">
        <f t="shared" ca="1" si="22"/>
        <v>1033.4354156157399</v>
      </c>
      <c r="O85" s="42">
        <f t="shared" ca="1" si="23"/>
        <v>0</v>
      </c>
      <c r="P85" s="42">
        <f t="shared" ca="1" si="24"/>
        <v>0.94584847726395382</v>
      </c>
      <c r="Q85" s="44">
        <f ca="1">IF(M85&lt;0,G85,IF(P85&lt;O85,G85,B85))</f>
        <v>8.0064303850041529</v>
      </c>
      <c r="R85" s="44">
        <f ca="1">IF(N85&lt;0,J85,IF(P85&lt;O85,J85,C85))</f>
        <v>4.0421105596394264</v>
      </c>
      <c r="S85" s="44">
        <f t="shared" ca="1" si="25"/>
        <v>-95.996412051682398</v>
      </c>
    </row>
    <row r="86" spans="1:19" x14ac:dyDescent="0.4">
      <c r="A86" s="42">
        <v>85</v>
      </c>
      <c r="B86" s="41">
        <f t="shared" ca="1" si="14"/>
        <v>8.0064303850041529</v>
      </c>
      <c r="C86" s="41">
        <f t="shared" ca="1" si="15"/>
        <v>4.0421105596394264</v>
      </c>
      <c r="D86" s="41">
        <f t="shared" ca="1" si="16"/>
        <v>-95.996412051682398</v>
      </c>
      <c r="E86" s="42">
        <f t="shared" ca="1" si="17"/>
        <v>0.62372115082961388</v>
      </c>
      <c r="F86" s="42">
        <v>0.5</v>
      </c>
      <c r="G86" s="43">
        <f t="shared" ca="1" si="18"/>
        <v>8.3182909604189597</v>
      </c>
      <c r="H86" s="42">
        <f t="shared" ca="1" si="19"/>
        <v>0.78553367545158403</v>
      </c>
      <c r="I86" s="42">
        <v>0.5</v>
      </c>
      <c r="J86" s="43">
        <f t="shared" ca="1" si="20"/>
        <v>4.4348773973652182</v>
      </c>
      <c r="K86" s="43">
        <f t="shared" ca="1" si="21"/>
        <v>-95.520454163037272</v>
      </c>
      <c r="L86" s="42">
        <f t="shared" si="13"/>
        <v>1.2900700781701081E-4</v>
      </c>
      <c r="M86" s="42">
        <f ca="1">K86-D86</f>
        <v>0.47595788864512656</v>
      </c>
      <c r="N86" s="42">
        <f t="shared" ca="1" si="22"/>
        <v>3689.395612680561</v>
      </c>
      <c r="O86" s="42">
        <f t="shared" ca="1" si="23"/>
        <v>0</v>
      </c>
      <c r="P86" s="42">
        <f t="shared" ca="1" si="24"/>
        <v>0.64222495136908997</v>
      </c>
      <c r="Q86" s="44">
        <f ca="1">IF(M86&lt;0,G86,IF(P86&lt;O86,G86,B86))</f>
        <v>8.0064303850041529</v>
      </c>
      <c r="R86" s="44">
        <f ca="1">IF(N86&lt;0,J86,IF(P86&lt;O86,J86,C86))</f>
        <v>4.0421105596394264</v>
      </c>
      <c r="S86" s="44">
        <f t="shared" ca="1" si="25"/>
        <v>-95.996412051682398</v>
      </c>
    </row>
    <row r="87" spans="1:19" x14ac:dyDescent="0.4">
      <c r="A87" s="42">
        <v>86</v>
      </c>
      <c r="B87" s="41">
        <f t="shared" ca="1" si="14"/>
        <v>8.0064303850041529</v>
      </c>
      <c r="C87" s="41">
        <f t="shared" ca="1" si="15"/>
        <v>4.0421105596394264</v>
      </c>
      <c r="D87" s="41">
        <f t="shared" ca="1" si="16"/>
        <v>-95.996412051682398</v>
      </c>
      <c r="E87" s="42">
        <f t="shared" ca="1" si="17"/>
        <v>0.64173584425177688</v>
      </c>
      <c r="F87" s="42">
        <v>0.5</v>
      </c>
      <c r="G87" s="43">
        <f t="shared" ca="1" si="18"/>
        <v>8.3272983071300413</v>
      </c>
      <c r="H87" s="42">
        <f t="shared" ca="1" si="19"/>
        <v>-0.42484566013335434</v>
      </c>
      <c r="I87" s="42">
        <v>0.5</v>
      </c>
      <c r="J87" s="43">
        <f t="shared" ca="1" si="20"/>
        <v>3.8296877295727492</v>
      </c>
      <c r="K87" s="43">
        <f t="shared" ca="1" si="21"/>
        <v>-95.834863279233645</v>
      </c>
      <c r="L87" s="42">
        <f t="shared" si="13"/>
        <v>1.1610630703530974E-4</v>
      </c>
      <c r="M87" s="42">
        <f ca="1">K87-D87</f>
        <v>0.16154877244875365</v>
      </c>
      <c r="N87" s="42">
        <f t="shared" ca="1" si="22"/>
        <v>1391.3867090753663</v>
      </c>
      <c r="O87" s="42">
        <f t="shared" ca="1" si="23"/>
        <v>0</v>
      </c>
      <c r="P87" s="42">
        <f t="shared" ca="1" si="24"/>
        <v>0.63174978964704442</v>
      </c>
      <c r="Q87" s="44">
        <f ca="1">IF(M87&lt;0,G87,IF(P87&lt;O87,G87,B87))</f>
        <v>8.0064303850041529</v>
      </c>
      <c r="R87" s="44">
        <f ca="1">IF(N87&lt;0,J87,IF(P87&lt;O87,J87,C87))</f>
        <v>4.0421105596394264</v>
      </c>
      <c r="S87" s="44">
        <f t="shared" ca="1" si="25"/>
        <v>-95.996412051682398</v>
      </c>
    </row>
    <row r="88" spans="1:19" x14ac:dyDescent="0.4">
      <c r="A88" s="42">
        <v>87</v>
      </c>
      <c r="B88" s="41">
        <f t="shared" ca="1" si="14"/>
        <v>8.0064303850041529</v>
      </c>
      <c r="C88" s="41">
        <f t="shared" ca="1" si="15"/>
        <v>4.0421105596394264</v>
      </c>
      <c r="D88" s="41">
        <f t="shared" ca="1" si="16"/>
        <v>-95.996412051682398</v>
      </c>
      <c r="E88" s="42">
        <f t="shared" ca="1" si="17"/>
        <v>0.11136507871235857</v>
      </c>
      <c r="F88" s="42">
        <v>0.5</v>
      </c>
      <c r="G88" s="43">
        <f t="shared" ca="1" si="18"/>
        <v>8.0621129243603313</v>
      </c>
      <c r="H88" s="42">
        <f t="shared" ca="1" si="19"/>
        <v>0.63132476120581926</v>
      </c>
      <c r="I88" s="42">
        <v>0.5</v>
      </c>
      <c r="J88" s="43">
        <f t="shared" ca="1" si="20"/>
        <v>4.3577729402423362</v>
      </c>
      <c r="K88" s="43">
        <f t="shared" ca="1" si="21"/>
        <v>-95.74013903108812</v>
      </c>
      <c r="L88" s="42">
        <f t="shared" si="13"/>
        <v>1.0449567633177876E-4</v>
      </c>
      <c r="M88" s="42">
        <f ca="1">K88-D88</f>
        <v>0.25627302059427848</v>
      </c>
      <c r="N88" s="42">
        <f t="shared" ca="1" si="22"/>
        <v>2452.4748735115068</v>
      </c>
      <c r="O88" s="42">
        <f t="shared" ca="1" si="23"/>
        <v>0</v>
      </c>
      <c r="P88" s="42">
        <f t="shared" ca="1" si="24"/>
        <v>0.42453159181403799</v>
      </c>
      <c r="Q88" s="44">
        <f ca="1">IF(M88&lt;0,G88,IF(P88&lt;O88,G88,B88))</f>
        <v>8.0064303850041529</v>
      </c>
      <c r="R88" s="44">
        <f ca="1">IF(N88&lt;0,J88,IF(P88&lt;O88,J88,C88))</f>
        <v>4.0421105596394264</v>
      </c>
      <c r="S88" s="44">
        <f t="shared" ca="1" si="25"/>
        <v>-95.996412051682398</v>
      </c>
    </row>
    <row r="89" spans="1:19" x14ac:dyDescent="0.4">
      <c r="A89" s="42">
        <v>88</v>
      </c>
      <c r="B89" s="41">
        <f t="shared" ca="1" si="14"/>
        <v>8.0064303850041529</v>
      </c>
      <c r="C89" s="41">
        <f t="shared" ca="1" si="15"/>
        <v>4.0421105596394264</v>
      </c>
      <c r="D89" s="41">
        <f t="shared" ca="1" si="16"/>
        <v>-95.996412051682398</v>
      </c>
      <c r="E89" s="42">
        <f t="shared" ca="1" si="17"/>
        <v>-0.79135664207543877</v>
      </c>
      <c r="F89" s="42">
        <v>0.5</v>
      </c>
      <c r="G89" s="43">
        <f t="shared" ca="1" si="18"/>
        <v>7.6107520639664337</v>
      </c>
      <c r="H89" s="42">
        <f t="shared" ca="1" si="19"/>
        <v>-0.35532088047334232</v>
      </c>
      <c r="I89" s="42">
        <v>0.5</v>
      </c>
      <c r="J89" s="43">
        <f t="shared" ca="1" si="20"/>
        <v>3.8644501194027554</v>
      </c>
      <c r="K89" s="43">
        <f t="shared" ca="1" si="21"/>
        <v>-95.811738504033755</v>
      </c>
      <c r="L89" s="42">
        <f t="shared" si="13"/>
        <v>9.4046108698600888E-5</v>
      </c>
      <c r="M89" s="42">
        <f ca="1">K89-D89</f>
        <v>0.18467354764864297</v>
      </c>
      <c r="N89" s="42">
        <f t="shared" ca="1" si="22"/>
        <v>1963.649003708224</v>
      </c>
      <c r="O89" s="42">
        <f t="shared" ca="1" si="23"/>
        <v>0</v>
      </c>
      <c r="P89" s="42">
        <f t="shared" ca="1" si="24"/>
        <v>0.1320120174007372</v>
      </c>
      <c r="Q89" s="44">
        <f ca="1">IF(M89&lt;0,G89,IF(P89&lt;O89,G89,B89))</f>
        <v>8.0064303850041529</v>
      </c>
      <c r="R89" s="44">
        <f ca="1">IF(N89&lt;0,J89,IF(P89&lt;O89,J89,C89))</f>
        <v>4.0421105596394264</v>
      </c>
      <c r="S89" s="44">
        <f t="shared" ca="1" si="25"/>
        <v>-95.996412051682398</v>
      </c>
    </row>
    <row r="90" spans="1:19" x14ac:dyDescent="0.4">
      <c r="A90" s="42">
        <v>89</v>
      </c>
      <c r="B90" s="41">
        <f t="shared" ca="1" si="14"/>
        <v>8.0064303850041529</v>
      </c>
      <c r="C90" s="41">
        <f t="shared" ca="1" si="15"/>
        <v>4.0421105596394264</v>
      </c>
      <c r="D90" s="41">
        <f t="shared" ca="1" si="16"/>
        <v>-95.996412051682398</v>
      </c>
      <c r="E90" s="42">
        <f t="shared" ca="1" si="17"/>
        <v>-0.12914763038865162</v>
      </c>
      <c r="F90" s="42">
        <v>0.5</v>
      </c>
      <c r="G90" s="43">
        <f t="shared" ca="1" si="18"/>
        <v>7.9418565698098273</v>
      </c>
      <c r="H90" s="42">
        <f t="shared" ca="1" si="19"/>
        <v>0.69503024615798137</v>
      </c>
      <c r="I90" s="42">
        <v>0.5</v>
      </c>
      <c r="J90" s="43">
        <f t="shared" ca="1" si="20"/>
        <v>4.3896256827184175</v>
      </c>
      <c r="K90" s="43">
        <f t="shared" ca="1" si="21"/>
        <v>-95.693002996258144</v>
      </c>
      <c r="L90" s="42">
        <f t="shared" si="13"/>
        <v>8.4641497828740801E-5</v>
      </c>
      <c r="M90" s="42">
        <f ca="1">K90-D90</f>
        <v>0.30340905542425389</v>
      </c>
      <c r="N90" s="42">
        <f t="shared" ca="1" si="22"/>
        <v>3584.6371249024442</v>
      </c>
      <c r="O90" s="42">
        <f t="shared" ca="1" si="23"/>
        <v>0</v>
      </c>
      <c r="P90" s="42">
        <f t="shared" ca="1" si="24"/>
        <v>0.46404399914589212</v>
      </c>
      <c r="Q90" s="44">
        <f ca="1">IF(M90&lt;0,G90,IF(P90&lt;O90,G90,B90))</f>
        <v>8.0064303850041529</v>
      </c>
      <c r="R90" s="44">
        <f ca="1">IF(N90&lt;0,J90,IF(P90&lt;O90,J90,C90))</f>
        <v>4.0421105596394264</v>
      </c>
      <c r="S90" s="44">
        <f t="shared" ca="1" si="25"/>
        <v>-95.996412051682398</v>
      </c>
    </row>
    <row r="91" spans="1:19" x14ac:dyDescent="0.4">
      <c r="A91" s="42">
        <v>90</v>
      </c>
      <c r="B91" s="41">
        <f t="shared" ca="1" si="14"/>
        <v>8.0064303850041529</v>
      </c>
      <c r="C91" s="41">
        <f t="shared" ca="1" si="15"/>
        <v>4.0421105596394264</v>
      </c>
      <c r="D91" s="41">
        <f t="shared" ca="1" si="16"/>
        <v>-95.996412051682398</v>
      </c>
      <c r="E91" s="42">
        <f t="shared" ca="1" si="17"/>
        <v>-0.50641501756959384</v>
      </c>
      <c r="F91" s="42">
        <v>0.5</v>
      </c>
      <c r="G91" s="43">
        <f t="shared" ca="1" si="18"/>
        <v>7.7532228762193558</v>
      </c>
      <c r="H91" s="42">
        <f t="shared" ca="1" si="19"/>
        <v>-0.7976370016400629</v>
      </c>
      <c r="I91" s="42">
        <v>0.5</v>
      </c>
      <c r="J91" s="43">
        <f t="shared" ca="1" si="20"/>
        <v>3.6432920588193949</v>
      </c>
      <c r="K91" s="43">
        <f t="shared" ca="1" si="21"/>
        <v>-95.684619940575942</v>
      </c>
      <c r="L91" s="42">
        <f t="shared" si="13"/>
        <v>7.617734804586673E-5</v>
      </c>
      <c r="M91" s="42">
        <f ca="1">K91-D91</f>
        <v>0.3117921111064561</v>
      </c>
      <c r="N91" s="42">
        <f t="shared" ca="1" si="22"/>
        <v>4092.9767063920976</v>
      </c>
      <c r="O91" s="42">
        <f t="shared" ca="1" si="23"/>
        <v>0</v>
      </c>
      <c r="P91" s="42">
        <f t="shared" ca="1" si="24"/>
        <v>0.44268138509139787</v>
      </c>
      <c r="Q91" s="44">
        <f ca="1">IF(M91&lt;0,G91,IF(P91&lt;O91,G91,B91))</f>
        <v>8.0064303850041529</v>
      </c>
      <c r="R91" s="44">
        <f ca="1">IF(N91&lt;0,J91,IF(P91&lt;O91,J91,C91))</f>
        <v>4.0421105596394264</v>
      </c>
      <c r="S91" s="44">
        <f t="shared" ca="1" si="25"/>
        <v>-95.996412051682398</v>
      </c>
    </row>
    <row r="92" spans="1:19" x14ac:dyDescent="0.4">
      <c r="A92" s="42">
        <v>91</v>
      </c>
      <c r="B92" s="41">
        <f t="shared" ca="1" si="14"/>
        <v>8.0064303850041529</v>
      </c>
      <c r="C92" s="41">
        <f t="shared" ca="1" si="15"/>
        <v>4.0421105596394264</v>
      </c>
      <c r="D92" s="41">
        <f t="shared" ca="1" si="16"/>
        <v>-95.996412051682398</v>
      </c>
      <c r="E92" s="42">
        <f t="shared" ca="1" si="17"/>
        <v>-5.1141098055776935E-2</v>
      </c>
      <c r="F92" s="42">
        <v>0.5</v>
      </c>
      <c r="G92" s="43">
        <f t="shared" ca="1" si="18"/>
        <v>7.9808598359762648</v>
      </c>
      <c r="H92" s="42">
        <f t="shared" ca="1" si="19"/>
        <v>-0.80784207620525117</v>
      </c>
      <c r="I92" s="42">
        <v>0.5</v>
      </c>
      <c r="J92" s="43">
        <f t="shared" ca="1" si="20"/>
        <v>3.638189521536801</v>
      </c>
      <c r="K92" s="43">
        <f t="shared" ca="1" si="21"/>
        <v>-95.737820009469601</v>
      </c>
      <c r="L92" s="42">
        <f t="shared" si="13"/>
        <v>6.8559613241280055E-5</v>
      </c>
      <c r="M92" s="42">
        <f ca="1">K92-D92</f>
        <v>0.25859204221279697</v>
      </c>
      <c r="N92" s="42">
        <f t="shared" ca="1" si="22"/>
        <v>3771.7838533123104</v>
      </c>
      <c r="O92" s="42">
        <f t="shared" ca="1" si="23"/>
        <v>0</v>
      </c>
      <c r="P92" s="42">
        <f t="shared" ca="1" si="24"/>
        <v>2.4579658931183523E-2</v>
      </c>
      <c r="Q92" s="44">
        <f ca="1">IF(M92&lt;0,G92,IF(P92&lt;O92,G92,B92))</f>
        <v>8.0064303850041529</v>
      </c>
      <c r="R92" s="44">
        <f ca="1">IF(N92&lt;0,J92,IF(P92&lt;O92,J92,C92))</f>
        <v>4.0421105596394264</v>
      </c>
      <c r="S92" s="44">
        <f t="shared" ca="1" si="25"/>
        <v>-95.996412051682398</v>
      </c>
    </row>
    <row r="93" spans="1:19" x14ac:dyDescent="0.4">
      <c r="A93" s="42">
        <v>92</v>
      </c>
      <c r="B93" s="41">
        <f t="shared" ca="1" si="14"/>
        <v>8.0064303850041529</v>
      </c>
      <c r="C93" s="41">
        <f t="shared" ca="1" si="15"/>
        <v>4.0421105596394264</v>
      </c>
      <c r="D93" s="41">
        <f t="shared" ca="1" si="16"/>
        <v>-95.996412051682398</v>
      </c>
      <c r="E93" s="42">
        <f t="shared" ca="1" si="17"/>
        <v>-0.93430647912657694</v>
      </c>
      <c r="F93" s="42">
        <v>0.5</v>
      </c>
      <c r="G93" s="43">
        <f t="shared" ca="1" si="18"/>
        <v>7.5392771454408649</v>
      </c>
      <c r="H93" s="42">
        <f t="shared" ca="1" si="19"/>
        <v>-0.62733887248431008</v>
      </c>
      <c r="I93" s="42">
        <v>0.5</v>
      </c>
      <c r="J93" s="43">
        <f t="shared" ca="1" si="20"/>
        <v>3.7284411233972712</v>
      </c>
      <c r="K93" s="43">
        <f t="shared" ca="1" si="21"/>
        <v>-95.640246004363405</v>
      </c>
      <c r="L93" s="42">
        <f t="shared" si="13"/>
        <v>6.1703651917152059E-5</v>
      </c>
      <c r="M93" s="42">
        <f ca="1">K93-D93</f>
        <v>0.35616604731899315</v>
      </c>
      <c r="N93" s="42">
        <f t="shared" ca="1" si="22"/>
        <v>5772.2036905888217</v>
      </c>
      <c r="O93" s="42">
        <f t="shared" ca="1" si="23"/>
        <v>0</v>
      </c>
      <c r="P93" s="42">
        <f t="shared" ca="1" si="24"/>
        <v>0.15169722832051258</v>
      </c>
      <c r="Q93" s="44">
        <f ca="1">IF(M93&lt;0,G93,IF(P93&lt;O93,G93,B93))</f>
        <v>8.0064303850041529</v>
      </c>
      <c r="R93" s="44">
        <f ca="1">IF(N93&lt;0,J93,IF(P93&lt;O93,J93,C93))</f>
        <v>4.0421105596394264</v>
      </c>
      <c r="S93" s="44">
        <f t="shared" ca="1" si="25"/>
        <v>-95.996412051682398</v>
      </c>
    </row>
    <row r="94" spans="1:19" x14ac:dyDescent="0.4">
      <c r="A94" s="42">
        <v>93</v>
      </c>
      <c r="B94" s="41">
        <f t="shared" ca="1" si="14"/>
        <v>8.0064303850041529</v>
      </c>
      <c r="C94" s="41">
        <f t="shared" ca="1" si="15"/>
        <v>4.0421105596394264</v>
      </c>
      <c r="D94" s="41">
        <f t="shared" ca="1" si="16"/>
        <v>-95.996412051682398</v>
      </c>
      <c r="E94" s="42">
        <f t="shared" ca="1" si="17"/>
        <v>0.43808072893365058</v>
      </c>
      <c r="F94" s="42">
        <v>0.5</v>
      </c>
      <c r="G94" s="43">
        <f t="shared" ca="1" si="18"/>
        <v>8.2254707494709791</v>
      </c>
      <c r="H94" s="42">
        <f t="shared" ca="1" si="19"/>
        <v>0.28138869176198278</v>
      </c>
      <c r="I94" s="42">
        <v>0.5</v>
      </c>
      <c r="J94" s="43">
        <f t="shared" ca="1" si="20"/>
        <v>4.1828049055204177</v>
      </c>
      <c r="K94" s="43">
        <f t="shared" ca="1" si="21"/>
        <v>-95.882327674168337</v>
      </c>
      <c r="L94" s="42">
        <f t="shared" si="13"/>
        <v>5.5533286725436855E-5</v>
      </c>
      <c r="M94" s="42">
        <f ca="1">K94-D94</f>
        <v>0.11408437751406098</v>
      </c>
      <c r="N94" s="42">
        <f t="shared" ca="1" si="22"/>
        <v>2054.3422556296305</v>
      </c>
      <c r="O94" s="42">
        <f t="shared" ca="1" si="23"/>
        <v>0</v>
      </c>
      <c r="P94" s="42">
        <f t="shared" ca="1" si="24"/>
        <v>0.38264960715138008</v>
      </c>
      <c r="Q94" s="44">
        <f ca="1">IF(M94&lt;0,G94,IF(P94&lt;O94,G94,B94))</f>
        <v>8.0064303850041529</v>
      </c>
      <c r="R94" s="44">
        <f ca="1">IF(N94&lt;0,J94,IF(P94&lt;O94,J94,C94))</f>
        <v>4.0421105596394264</v>
      </c>
      <c r="S94" s="44">
        <f t="shared" ca="1" si="25"/>
        <v>-95.996412051682398</v>
      </c>
    </row>
    <row r="95" spans="1:19" x14ac:dyDescent="0.4">
      <c r="A95" s="42">
        <v>94</v>
      </c>
      <c r="B95" s="41">
        <f t="shared" ca="1" si="14"/>
        <v>8.0064303850041529</v>
      </c>
      <c r="C95" s="41">
        <f t="shared" ca="1" si="15"/>
        <v>4.0421105596394264</v>
      </c>
      <c r="D95" s="41">
        <f t="shared" ca="1" si="16"/>
        <v>-95.996412051682398</v>
      </c>
      <c r="E95" s="42">
        <f t="shared" ca="1" si="17"/>
        <v>-0.29728379084394008</v>
      </c>
      <c r="F95" s="42">
        <v>0.5</v>
      </c>
      <c r="G95" s="43">
        <f t="shared" ca="1" si="18"/>
        <v>7.857788489582183</v>
      </c>
      <c r="H95" s="42">
        <f t="shared" ca="1" si="19"/>
        <v>0.9385003502501359</v>
      </c>
      <c r="I95" s="42">
        <v>0.5</v>
      </c>
      <c r="J95" s="43">
        <f t="shared" ca="1" si="20"/>
        <v>4.5113607347644944</v>
      </c>
      <c r="K95" s="43">
        <f t="shared" ca="1" si="21"/>
        <v>-95.456796284186922</v>
      </c>
      <c r="L95" s="42">
        <f t="shared" si="13"/>
        <v>4.9979958052893167E-5</v>
      </c>
      <c r="M95" s="42">
        <f ca="1">K95-D95</f>
        <v>0.53961576749547646</v>
      </c>
      <c r="N95" s="42">
        <f t="shared" ca="1" si="22"/>
        <v>10796.643064894288</v>
      </c>
      <c r="O95" s="42">
        <f t="shared" ca="1" si="23"/>
        <v>0</v>
      </c>
      <c r="P95" s="42">
        <f t="shared" ca="1" si="24"/>
        <v>0.39178461374526308</v>
      </c>
      <c r="Q95" s="44">
        <f ca="1">IF(M95&lt;0,G95,IF(P95&lt;O95,G95,B95))</f>
        <v>8.0064303850041529</v>
      </c>
      <c r="R95" s="44">
        <f ca="1">IF(N95&lt;0,J95,IF(P95&lt;O95,J95,C95))</f>
        <v>4.0421105596394264</v>
      </c>
      <c r="S95" s="44">
        <f t="shared" ca="1" si="25"/>
        <v>-95.996412051682398</v>
      </c>
    </row>
    <row r="96" spans="1:19" x14ac:dyDescent="0.4">
      <c r="A96" s="42">
        <v>95</v>
      </c>
      <c r="B96" s="41">
        <f t="shared" ca="1" si="14"/>
        <v>8.0064303850041529</v>
      </c>
      <c r="C96" s="41">
        <f t="shared" ca="1" si="15"/>
        <v>4.0421105596394264</v>
      </c>
      <c r="D96" s="41">
        <f t="shared" ca="1" si="16"/>
        <v>-95.996412051682398</v>
      </c>
      <c r="E96" s="42">
        <f t="shared" ca="1" si="17"/>
        <v>-0.92134291867471174</v>
      </c>
      <c r="F96" s="42">
        <v>0.5</v>
      </c>
      <c r="G96" s="43">
        <f t="shared" ca="1" si="18"/>
        <v>7.5457589256667967</v>
      </c>
      <c r="H96" s="42">
        <f t="shared" ca="1" si="19"/>
        <v>5.1469776812857804E-2</v>
      </c>
      <c r="I96" s="42">
        <v>0.5</v>
      </c>
      <c r="J96" s="43">
        <f t="shared" ca="1" si="20"/>
        <v>4.0678454480458557</v>
      </c>
      <c r="K96" s="43">
        <f t="shared" ca="1" si="21"/>
        <v>-95.784459036747535</v>
      </c>
      <c r="L96" s="42">
        <f t="shared" si="13"/>
        <v>4.4981962247603851E-5</v>
      </c>
      <c r="M96" s="42">
        <f ca="1">K96-D96</f>
        <v>0.2119530149348634</v>
      </c>
      <c r="N96" s="42">
        <f t="shared" ca="1" si="22"/>
        <v>4711.9557339042931</v>
      </c>
      <c r="O96" s="42">
        <f t="shared" ca="1" si="23"/>
        <v>0</v>
      </c>
      <c r="P96" s="42">
        <f t="shared" ca="1" si="24"/>
        <v>0.64139248677047855</v>
      </c>
      <c r="Q96" s="44">
        <f ca="1">IF(M96&lt;0,G96,IF(P96&lt;O96,G96,B96))</f>
        <v>8.0064303850041529</v>
      </c>
      <c r="R96" s="44">
        <f ca="1">IF(N96&lt;0,J96,IF(P96&lt;O96,J96,C96))</f>
        <v>4.0421105596394264</v>
      </c>
      <c r="S96" s="44">
        <f t="shared" ca="1" si="25"/>
        <v>-95.996412051682398</v>
      </c>
    </row>
    <row r="97" spans="1:19" x14ac:dyDescent="0.4">
      <c r="A97" s="42">
        <v>96</v>
      </c>
      <c r="B97" s="41">
        <f t="shared" ca="1" si="14"/>
        <v>8.0064303850041529</v>
      </c>
      <c r="C97" s="41">
        <f t="shared" ca="1" si="15"/>
        <v>4.0421105596394264</v>
      </c>
      <c r="D97" s="41">
        <f t="shared" ca="1" si="16"/>
        <v>-95.996412051682398</v>
      </c>
      <c r="E97" s="42">
        <f t="shared" ca="1" si="17"/>
        <v>-0.21739406472643763</v>
      </c>
      <c r="F97" s="42">
        <v>0.5</v>
      </c>
      <c r="G97" s="43">
        <f t="shared" ca="1" si="18"/>
        <v>7.8977333526409339</v>
      </c>
      <c r="H97" s="42">
        <f t="shared" ca="1" si="19"/>
        <v>-0.61869614401906925</v>
      </c>
      <c r="I97" s="42">
        <v>0.5</v>
      </c>
      <c r="J97" s="43">
        <f t="shared" ca="1" si="20"/>
        <v>3.7327624876298917</v>
      </c>
      <c r="K97" s="43">
        <f t="shared" ca="1" si="21"/>
        <v>-95.846709756802397</v>
      </c>
      <c r="L97" s="42">
        <f t="shared" si="13"/>
        <v>4.0483766022843469E-5</v>
      </c>
      <c r="M97" s="42">
        <f ca="1">K97-D97</f>
        <v>0.14970229488000086</v>
      </c>
      <c r="N97" s="42">
        <f t="shared" ca="1" si="22"/>
        <v>3697.835196348321</v>
      </c>
      <c r="O97" s="42">
        <f t="shared" ca="1" si="23"/>
        <v>0</v>
      </c>
      <c r="P97" s="42">
        <f t="shared" ca="1" si="24"/>
        <v>0.20934097503352389</v>
      </c>
      <c r="Q97" s="44">
        <f ca="1">IF(M97&lt;0,G97,IF(P97&lt;O97,G97,B97))</f>
        <v>8.0064303850041529</v>
      </c>
      <c r="R97" s="44">
        <f ca="1">IF(N97&lt;0,J97,IF(P97&lt;O97,J97,C97))</f>
        <v>4.0421105596394264</v>
      </c>
      <c r="S97" s="44">
        <f t="shared" ca="1" si="25"/>
        <v>-95.996412051682398</v>
      </c>
    </row>
    <row r="98" spans="1:19" x14ac:dyDescent="0.4">
      <c r="A98" s="42">
        <v>97</v>
      </c>
      <c r="B98" s="41">
        <f t="shared" ca="1" si="14"/>
        <v>8.0064303850041529</v>
      </c>
      <c r="C98" s="41">
        <f t="shared" ca="1" si="15"/>
        <v>4.0421105596394264</v>
      </c>
      <c r="D98" s="41">
        <f t="shared" ca="1" si="16"/>
        <v>-95.996412051682398</v>
      </c>
      <c r="E98" s="42">
        <f t="shared" ca="1" si="17"/>
        <v>-0.69662483931411767</v>
      </c>
      <c r="F98" s="42">
        <v>0.5</v>
      </c>
      <c r="G98" s="43">
        <f t="shared" ca="1" si="18"/>
        <v>7.6581179653470937</v>
      </c>
      <c r="H98" s="42">
        <f t="shared" ca="1" si="19"/>
        <v>-0.28532083026962884</v>
      </c>
      <c r="I98" s="42">
        <v>0.5</v>
      </c>
      <c r="J98" s="43">
        <f t="shared" ca="1" si="20"/>
        <v>3.8994501445046121</v>
      </c>
      <c r="K98" s="43">
        <f t="shared" ca="1" si="21"/>
        <v>-95.862896127501301</v>
      </c>
      <c r="L98" s="42">
        <f t="shared" si="13"/>
        <v>3.6435389420559126E-5</v>
      </c>
      <c r="M98" s="42">
        <f ca="1">K98-D98</f>
        <v>0.13351592418109703</v>
      </c>
      <c r="N98" s="42">
        <f t="shared" ca="1" si="22"/>
        <v>3664.4571748630465</v>
      </c>
      <c r="O98" s="42">
        <f t="shared" ca="1" si="23"/>
        <v>0</v>
      </c>
      <c r="P98" s="42">
        <f t="shared" ca="1" si="24"/>
        <v>0.22205266296215653</v>
      </c>
      <c r="Q98" s="44">
        <f ca="1">IF(M98&lt;0,G98,IF(P98&lt;O98,G98,B98))</f>
        <v>8.0064303850041529</v>
      </c>
      <c r="R98" s="44">
        <f ca="1">IF(N98&lt;0,J98,IF(P98&lt;O98,J98,C98))</f>
        <v>4.0421105596394264</v>
      </c>
      <c r="S98" s="44">
        <f t="shared" ca="1" si="25"/>
        <v>-95.996412051682398</v>
      </c>
    </row>
    <row r="99" spans="1:19" x14ac:dyDescent="0.4">
      <c r="A99" s="42">
        <v>98</v>
      </c>
      <c r="B99" s="41">
        <f t="shared" ca="1" si="14"/>
        <v>8.0064303850041529</v>
      </c>
      <c r="C99" s="41">
        <f t="shared" ca="1" si="15"/>
        <v>4.0421105596394264</v>
      </c>
      <c r="D99" s="41">
        <f t="shared" ca="1" si="16"/>
        <v>-95.996412051682398</v>
      </c>
      <c r="E99" s="42">
        <f t="shared" ca="1" si="17"/>
        <v>0.49446721447808462</v>
      </c>
      <c r="F99" s="42">
        <v>0.5</v>
      </c>
      <c r="G99" s="43">
        <f t="shared" ca="1" si="18"/>
        <v>8.2536639922431956</v>
      </c>
      <c r="H99" s="42">
        <f t="shared" ca="1" si="19"/>
        <v>0.94571354973233324</v>
      </c>
      <c r="I99" s="42">
        <v>0.5</v>
      </c>
      <c r="J99" s="43">
        <f t="shared" ca="1" si="20"/>
        <v>4.5149673345055934</v>
      </c>
      <c r="K99" s="43">
        <f t="shared" ca="1" si="21"/>
        <v>-95.405271867823643</v>
      </c>
      <c r="L99" s="42">
        <f t="shared" si="13"/>
        <v>3.2791850478503213E-5</v>
      </c>
      <c r="M99" s="42">
        <f ca="1">K99-D99</f>
        <v>0.59114018385875511</v>
      </c>
      <c r="N99" s="42">
        <f t="shared" ca="1" si="22"/>
        <v>18027.045599219193</v>
      </c>
      <c r="O99" s="42">
        <f t="shared" ca="1" si="23"/>
        <v>0</v>
      </c>
      <c r="P99" s="42">
        <f t="shared" ca="1" si="24"/>
        <v>0.56688957176506249</v>
      </c>
      <c r="Q99" s="44">
        <f ca="1">IF(M99&lt;0,G99,IF(P99&lt;O99,G99,B99))</f>
        <v>8.0064303850041529</v>
      </c>
      <c r="R99" s="44">
        <f ca="1">IF(N99&lt;0,J99,IF(P99&lt;O99,J99,C99))</f>
        <v>4.0421105596394264</v>
      </c>
      <c r="S99" s="44">
        <f t="shared" ca="1" si="25"/>
        <v>-95.996412051682398</v>
      </c>
    </row>
    <row r="100" spans="1:19" x14ac:dyDescent="0.4">
      <c r="A100" s="42">
        <v>99</v>
      </c>
      <c r="B100" s="41">
        <f t="shared" ca="1" si="14"/>
        <v>8.0064303850041529</v>
      </c>
      <c r="C100" s="41">
        <f t="shared" ca="1" si="15"/>
        <v>4.0421105596394264</v>
      </c>
      <c r="D100" s="41">
        <f t="shared" ca="1" si="16"/>
        <v>-95.996412051682398</v>
      </c>
      <c r="E100" s="42">
        <f t="shared" ca="1" si="17"/>
        <v>0.82986258975349525</v>
      </c>
      <c r="F100" s="42">
        <v>0.5</v>
      </c>
      <c r="G100" s="43">
        <f t="shared" ca="1" si="18"/>
        <v>8.421361679880901</v>
      </c>
      <c r="H100" s="42">
        <f t="shared" ca="1" si="19"/>
        <v>-0.75993099269753062</v>
      </c>
      <c r="I100" s="42">
        <v>0.5</v>
      </c>
      <c r="J100" s="43">
        <f t="shared" ca="1" si="20"/>
        <v>3.6621450632906614</v>
      </c>
      <c r="K100" s="43">
        <f t="shared" ca="1" si="21"/>
        <v>-95.594162418210203</v>
      </c>
      <c r="L100" s="42">
        <f t="shared" si="13"/>
        <v>2.9512665430652893E-5</v>
      </c>
      <c r="M100" s="42">
        <f ca="1">K100-D100</f>
        <v>0.402249633472195</v>
      </c>
      <c r="N100" s="42">
        <f t="shared" ca="1" si="22"/>
        <v>13629.729053696532</v>
      </c>
      <c r="O100" s="42">
        <f t="shared" ca="1" si="23"/>
        <v>0</v>
      </c>
      <c r="P100" s="42">
        <f t="shared" ca="1" si="24"/>
        <v>0.53366107796124485</v>
      </c>
      <c r="Q100" s="44">
        <f ca="1">IF(M100&lt;0,G100,IF(P100&lt;O100,G100,B100))</f>
        <v>8.0064303850041529</v>
      </c>
      <c r="R100" s="44">
        <f ca="1">IF(N100&lt;0,J100,IF(P100&lt;O100,J100,C100))</f>
        <v>4.0421105596394264</v>
      </c>
      <c r="S100" s="44">
        <f t="shared" ca="1" si="25"/>
        <v>-95.996412051682398</v>
      </c>
    </row>
    <row r="101" spans="1:19" x14ac:dyDescent="0.4">
      <c r="A101" s="42">
        <v>100</v>
      </c>
      <c r="B101" s="41">
        <f t="shared" ca="1" si="14"/>
        <v>8.0064303850041529</v>
      </c>
      <c r="C101" s="41">
        <f t="shared" ca="1" si="15"/>
        <v>4.0421105596394264</v>
      </c>
      <c r="D101" s="41">
        <f t="shared" ca="1" si="16"/>
        <v>-95.996412051682398</v>
      </c>
      <c r="E101" s="42">
        <f t="shared" ca="1" si="17"/>
        <v>0.23166097764521143</v>
      </c>
      <c r="F101" s="42">
        <v>0.5</v>
      </c>
      <c r="G101" s="43">
        <f t="shared" ca="1" si="18"/>
        <v>8.1222608738267592</v>
      </c>
      <c r="H101" s="42">
        <f t="shared" ca="1" si="19"/>
        <v>-0.79490232967822649</v>
      </c>
      <c r="I101" s="42">
        <v>0.5</v>
      </c>
      <c r="J101" s="43">
        <f t="shared" ca="1" si="20"/>
        <v>3.6446593948003132</v>
      </c>
      <c r="K101" s="43">
        <f t="shared" ca="1" si="21"/>
        <v>-95.732518387323751</v>
      </c>
      <c r="L101" s="42">
        <f t="shared" si="13"/>
        <v>2.6561398887587605E-5</v>
      </c>
      <c r="M101" s="42">
        <f ca="1">K101-D101</f>
        <v>0.26389366435864758</v>
      </c>
      <c r="N101" s="42">
        <f t="shared" ca="1" si="22"/>
        <v>9935.2321568412426</v>
      </c>
      <c r="O101" s="42">
        <f t="shared" ca="1" si="23"/>
        <v>0</v>
      </c>
      <c r="P101" s="42">
        <f t="shared" ca="1" si="24"/>
        <v>0.25151857785127418</v>
      </c>
      <c r="Q101" s="44">
        <f ca="1">IF(M101&lt;0,G101,IF(P101&lt;O101,G101,B101))</f>
        <v>8.0064303850041529</v>
      </c>
      <c r="R101" s="44">
        <f ca="1">IF(N101&lt;0,J101,IF(P101&lt;O101,J101,C101))</f>
        <v>4.0421105596394264</v>
      </c>
      <c r="S101" s="44">
        <f t="shared" ca="1" si="25"/>
        <v>-95.996412051682398</v>
      </c>
    </row>
    <row r="102" spans="1:19" x14ac:dyDescent="0.4">
      <c r="A102" s="42">
        <v>101</v>
      </c>
      <c r="B102" s="41">
        <f t="shared" ca="1" si="14"/>
        <v>8.0064303850041529</v>
      </c>
      <c r="C102" s="41">
        <f t="shared" ca="1" si="15"/>
        <v>4.0421105596394264</v>
      </c>
      <c r="D102" s="41">
        <f t="shared" ca="1" si="16"/>
        <v>-95.996412051682398</v>
      </c>
      <c r="E102" s="42">
        <f t="shared" ca="1" si="17"/>
        <v>0.23452752991748516</v>
      </c>
      <c r="F102" s="42">
        <v>0.5</v>
      </c>
      <c r="G102" s="43">
        <f t="shared" ca="1" si="18"/>
        <v>8.1236941499628958</v>
      </c>
      <c r="H102" s="42">
        <f t="shared" ca="1" si="19"/>
        <v>-0.87045783358149453</v>
      </c>
      <c r="I102" s="42">
        <v>0.5</v>
      </c>
      <c r="J102" s="43">
        <f t="shared" ca="1" si="20"/>
        <v>3.6068816428486792</v>
      </c>
      <c r="K102" s="43">
        <f t="shared" ca="1" si="21"/>
        <v>-95.675615671806256</v>
      </c>
      <c r="L102" s="42">
        <f t="shared" si="13"/>
        <v>2.3905258998828849E-5</v>
      </c>
      <c r="M102" s="42">
        <f ca="1">K102-D102</f>
        <v>0.32079637987614262</v>
      </c>
      <c r="N102" s="42">
        <f t="shared" ca="1" si="22"/>
        <v>13419.489824053313</v>
      </c>
      <c r="O102" s="42">
        <f t="shared" ca="1" si="23"/>
        <v>0</v>
      </c>
      <c r="P102" s="42">
        <f t="shared" ca="1" si="24"/>
        <v>0.38246388148489696</v>
      </c>
      <c r="Q102" s="44">
        <f ca="1">IF(M102&lt;0,G102,IF(P102&lt;O102,G102,B102))</f>
        <v>8.0064303850041529</v>
      </c>
      <c r="R102" s="44">
        <f ca="1">IF(N102&lt;0,J102,IF(P102&lt;O102,J102,C102))</f>
        <v>4.0421105596394264</v>
      </c>
      <c r="S102" s="44">
        <f t="shared" ca="1" si="25"/>
        <v>-95.996412051682398</v>
      </c>
    </row>
    <row r="103" spans="1:19" x14ac:dyDescent="0.4">
      <c r="A103" s="42">
        <v>102</v>
      </c>
      <c r="B103" s="41">
        <f t="shared" ca="1" si="14"/>
        <v>8.0064303850041529</v>
      </c>
      <c r="C103" s="41">
        <f t="shared" ca="1" si="15"/>
        <v>4.0421105596394264</v>
      </c>
      <c r="D103" s="41">
        <f t="shared" ca="1" si="16"/>
        <v>-95.996412051682398</v>
      </c>
      <c r="E103" s="42">
        <f t="shared" ca="1" si="17"/>
        <v>-0.2708520528861742</v>
      </c>
      <c r="F103" s="42">
        <v>0.5</v>
      </c>
      <c r="G103" s="43">
        <f t="shared" ca="1" si="18"/>
        <v>7.8710043585610663</v>
      </c>
      <c r="H103" s="42">
        <f t="shared" ca="1" si="19"/>
        <v>-0.72142954678116111</v>
      </c>
      <c r="I103" s="42">
        <v>0.5</v>
      </c>
      <c r="J103" s="43">
        <f t="shared" ca="1" si="20"/>
        <v>3.6813957862488458</v>
      </c>
      <c r="K103" s="43">
        <f t="shared" ca="1" si="21"/>
        <v>-95.780342834449769</v>
      </c>
      <c r="L103" s="42">
        <f t="shared" si="13"/>
        <v>2.151473309894596E-5</v>
      </c>
      <c r="M103" s="42">
        <f ca="1">K103-D103</f>
        <v>0.21606921723262928</v>
      </c>
      <c r="N103" s="42">
        <f t="shared" ca="1" si="22"/>
        <v>10042.849067145287</v>
      </c>
      <c r="O103" s="42">
        <f t="shared" ca="1" si="23"/>
        <v>0</v>
      </c>
      <c r="P103" s="42">
        <f t="shared" ca="1" si="24"/>
        <v>0.46204194717378855</v>
      </c>
      <c r="Q103" s="44">
        <f ca="1">IF(M103&lt;0,G103,IF(P103&lt;O103,G103,B103))</f>
        <v>8.0064303850041529</v>
      </c>
      <c r="R103" s="44">
        <f ca="1">IF(N103&lt;0,J103,IF(P103&lt;O103,J103,C103))</f>
        <v>4.0421105596394264</v>
      </c>
      <c r="S103" s="44">
        <f t="shared" ca="1" si="25"/>
        <v>-95.996412051682398</v>
      </c>
    </row>
    <row r="104" spans="1:19" x14ac:dyDescent="0.4">
      <c r="A104" s="42">
        <v>103</v>
      </c>
      <c r="B104" s="41">
        <f t="shared" ca="1" si="14"/>
        <v>8.0064303850041529</v>
      </c>
      <c r="C104" s="41">
        <f t="shared" ca="1" si="15"/>
        <v>4.0421105596394264</v>
      </c>
      <c r="D104" s="41">
        <f t="shared" ca="1" si="16"/>
        <v>-95.996412051682398</v>
      </c>
      <c r="E104" s="42">
        <f t="shared" ca="1" si="17"/>
        <v>0.9234167330983527</v>
      </c>
      <c r="F104" s="42">
        <v>0.5</v>
      </c>
      <c r="G104" s="43">
        <f t="shared" ca="1" si="18"/>
        <v>8.4681387515533295</v>
      </c>
      <c r="H104" s="42">
        <f t="shared" ca="1" si="19"/>
        <v>-5.1246212153930326E-2</v>
      </c>
      <c r="I104" s="42">
        <v>0.5</v>
      </c>
      <c r="J104" s="43">
        <f t="shared" ca="1" si="20"/>
        <v>4.0164874535624611</v>
      </c>
      <c r="K104" s="43">
        <f t="shared" ca="1" si="21"/>
        <v>-95.780302437044142</v>
      </c>
      <c r="L104" s="42">
        <f t="shared" si="13"/>
        <v>1.9363259789051366E-5</v>
      </c>
      <c r="M104" s="42">
        <f ca="1">K104-D104</f>
        <v>0.21610961463825618</v>
      </c>
      <c r="N104" s="42">
        <f t="shared" ca="1" si="22"/>
        <v>11160.807477284985</v>
      </c>
      <c r="O104" s="42">
        <f t="shared" ca="1" si="23"/>
        <v>0</v>
      </c>
      <c r="P104" s="42">
        <f t="shared" ca="1" si="24"/>
        <v>0.88410096628116952</v>
      </c>
      <c r="Q104" s="44">
        <f ca="1">IF(M104&lt;0,G104,IF(P104&lt;O104,G104,B104))</f>
        <v>8.0064303850041529</v>
      </c>
      <c r="R104" s="44">
        <f ca="1">IF(N104&lt;0,J104,IF(P104&lt;O104,J104,C104))</f>
        <v>4.0421105596394264</v>
      </c>
      <c r="S104" s="44">
        <f t="shared" ca="1" si="25"/>
        <v>-95.996412051682398</v>
      </c>
    </row>
    <row r="105" spans="1:19" x14ac:dyDescent="0.4">
      <c r="A105" s="42">
        <v>104</v>
      </c>
      <c r="B105" s="41">
        <f t="shared" ca="1" si="14"/>
        <v>8.0064303850041529</v>
      </c>
      <c r="C105" s="41">
        <f t="shared" ca="1" si="15"/>
        <v>4.0421105596394264</v>
      </c>
      <c r="D105" s="41">
        <f t="shared" ca="1" si="16"/>
        <v>-95.996412051682398</v>
      </c>
      <c r="E105" s="42">
        <f t="shared" ca="1" si="17"/>
        <v>-0.79049200864826186</v>
      </c>
      <c r="F105" s="42">
        <v>0.5</v>
      </c>
      <c r="G105" s="43">
        <f t="shared" ca="1" si="18"/>
        <v>7.6111843806800223</v>
      </c>
      <c r="H105" s="42">
        <f t="shared" ca="1" si="19"/>
        <v>-9.7090759582057595E-2</v>
      </c>
      <c r="I105" s="42">
        <v>0.5</v>
      </c>
      <c r="J105" s="43">
        <f t="shared" ca="1" si="20"/>
        <v>3.9935651798483978</v>
      </c>
      <c r="K105" s="43">
        <f t="shared" ca="1" si="21"/>
        <v>-95.848739600352047</v>
      </c>
      <c r="L105" s="42">
        <f t="shared" si="13"/>
        <v>1.7426933810146229E-5</v>
      </c>
      <c r="M105" s="42">
        <f ca="1">K105-D105</f>
        <v>0.1476724513303509</v>
      </c>
      <c r="N105" s="42">
        <f t="shared" ca="1" si="22"/>
        <v>8473.8057158611409</v>
      </c>
      <c r="O105" s="42">
        <f t="shared" ca="1" si="23"/>
        <v>0</v>
      </c>
      <c r="P105" s="42">
        <f t="shared" ca="1" si="24"/>
        <v>0.99401988178625134</v>
      </c>
      <c r="Q105" s="44">
        <f ca="1">IF(M105&lt;0,G105,IF(P105&lt;O105,G105,B105))</f>
        <v>8.0064303850041529</v>
      </c>
      <c r="R105" s="44">
        <f ca="1">IF(N105&lt;0,J105,IF(P105&lt;O105,J105,C105))</f>
        <v>4.0421105596394264</v>
      </c>
      <c r="S105" s="44">
        <f t="shared" ca="1" si="25"/>
        <v>-95.996412051682398</v>
      </c>
    </row>
    <row r="106" spans="1:19" x14ac:dyDescent="0.4">
      <c r="A106" s="42">
        <v>105</v>
      </c>
      <c r="B106" s="41">
        <f t="shared" ca="1" si="14"/>
        <v>8.0064303850041529</v>
      </c>
      <c r="C106" s="41">
        <f t="shared" ca="1" si="15"/>
        <v>4.0421105596394264</v>
      </c>
      <c r="D106" s="41">
        <f t="shared" ca="1" si="16"/>
        <v>-95.996412051682398</v>
      </c>
      <c r="E106" s="42">
        <f t="shared" ca="1" si="17"/>
        <v>0.65145900713197769</v>
      </c>
      <c r="F106" s="42">
        <v>0.5</v>
      </c>
      <c r="G106" s="43">
        <f t="shared" ca="1" si="18"/>
        <v>8.3321598885701427</v>
      </c>
      <c r="H106" s="42">
        <f t="shared" ca="1" si="19"/>
        <v>0.23884234614799071</v>
      </c>
      <c r="I106" s="42">
        <v>0.5</v>
      </c>
      <c r="J106" s="43">
        <f t="shared" ca="1" si="20"/>
        <v>4.1615317327134216</v>
      </c>
      <c r="K106" s="43">
        <f t="shared" ca="1" si="21"/>
        <v>-95.837484807078269</v>
      </c>
      <c r="L106" s="42">
        <f t="shared" si="13"/>
        <v>1.5684240429131608E-5</v>
      </c>
      <c r="M106" s="42">
        <f ca="1">K106-D106</f>
        <v>0.15892724460412921</v>
      </c>
      <c r="N106" s="42">
        <f t="shared" ca="1" si="22"/>
        <v>10132.925806782507</v>
      </c>
      <c r="O106" s="42">
        <f t="shared" ca="1" si="23"/>
        <v>0</v>
      </c>
      <c r="P106" s="42">
        <f t="shared" ca="1" si="24"/>
        <v>0.9525109163715243</v>
      </c>
      <c r="Q106" s="44">
        <f ca="1">IF(M106&lt;0,G106,IF(P106&lt;O106,G106,B106))</f>
        <v>8.0064303850041529</v>
      </c>
      <c r="R106" s="44">
        <f ca="1">IF(N106&lt;0,J106,IF(P106&lt;O106,J106,C106))</f>
        <v>4.0421105596394264</v>
      </c>
      <c r="S106" s="44">
        <f t="shared" ca="1" si="25"/>
        <v>-95.996412051682398</v>
      </c>
    </row>
    <row r="107" spans="1:19" x14ac:dyDescent="0.4">
      <c r="A107" s="42">
        <v>106</v>
      </c>
      <c r="B107" s="41">
        <f t="shared" ca="1" si="14"/>
        <v>8.0064303850041529</v>
      </c>
      <c r="C107" s="41">
        <f t="shared" ca="1" si="15"/>
        <v>4.0421105596394264</v>
      </c>
      <c r="D107" s="41">
        <f t="shared" ca="1" si="16"/>
        <v>-95.996412051682398</v>
      </c>
      <c r="E107" s="42">
        <f t="shared" ca="1" si="17"/>
        <v>-0.64069367491241946</v>
      </c>
      <c r="F107" s="42">
        <v>0.5</v>
      </c>
      <c r="G107" s="43">
        <f t="shared" ca="1" si="18"/>
        <v>7.686083547547943</v>
      </c>
      <c r="H107" s="42">
        <f t="shared" ca="1" si="19"/>
        <v>0.76811959521362771</v>
      </c>
      <c r="I107" s="42">
        <v>0.5</v>
      </c>
      <c r="J107" s="43">
        <f t="shared" ca="1" si="20"/>
        <v>4.4261703572462405</v>
      </c>
      <c r="K107" s="43">
        <f t="shared" ca="1" si="21"/>
        <v>-95.538214114089129</v>
      </c>
      <c r="L107" s="42">
        <f t="shared" si="13"/>
        <v>1.4115816386218448E-5</v>
      </c>
      <c r="M107" s="42">
        <f ca="1">K107-D107</f>
        <v>0.45819793759326899</v>
      </c>
      <c r="N107" s="42">
        <f t="shared" ca="1" si="22"/>
        <v>32459.896406743908</v>
      </c>
      <c r="O107" s="42">
        <f t="shared" ca="1" si="23"/>
        <v>0</v>
      </c>
      <c r="P107" s="42">
        <f t="shared" ca="1" si="24"/>
        <v>0.35413904576754573</v>
      </c>
      <c r="Q107" s="44">
        <f ca="1">IF(M107&lt;0,G107,IF(P107&lt;O107,G107,B107))</f>
        <v>8.0064303850041529</v>
      </c>
      <c r="R107" s="44">
        <f ca="1">IF(N107&lt;0,J107,IF(P107&lt;O107,J107,C107))</f>
        <v>4.0421105596394264</v>
      </c>
      <c r="S107" s="44">
        <f t="shared" ca="1" si="25"/>
        <v>-95.996412051682398</v>
      </c>
    </row>
    <row r="108" spans="1:19" x14ac:dyDescent="0.4">
      <c r="A108" s="42">
        <v>107</v>
      </c>
      <c r="B108" s="41">
        <f t="shared" ca="1" si="14"/>
        <v>8.0064303850041529</v>
      </c>
      <c r="C108" s="41">
        <f t="shared" ca="1" si="15"/>
        <v>4.0421105596394264</v>
      </c>
      <c r="D108" s="41">
        <f t="shared" ca="1" si="16"/>
        <v>-95.996412051682398</v>
      </c>
      <c r="E108" s="42">
        <f t="shared" ca="1" si="17"/>
        <v>0.8981908920453654</v>
      </c>
      <c r="F108" s="42">
        <v>0.5</v>
      </c>
      <c r="G108" s="43">
        <f t="shared" ca="1" si="18"/>
        <v>8.4555258310268364</v>
      </c>
      <c r="H108" s="42">
        <f t="shared" ca="1" si="19"/>
        <v>0.44095311285903382</v>
      </c>
      <c r="I108" s="42">
        <v>0.5</v>
      </c>
      <c r="J108" s="43">
        <f t="shared" ca="1" si="20"/>
        <v>4.2625871160689437</v>
      </c>
      <c r="K108" s="43">
        <f t="shared" ca="1" si="21"/>
        <v>-95.654592230216508</v>
      </c>
      <c r="L108" s="42">
        <f t="shared" si="13"/>
        <v>1.2704234747596604E-5</v>
      </c>
      <c r="M108" s="42">
        <f ca="1">K108-D108</f>
        <v>0.34181982146589007</v>
      </c>
      <c r="N108" s="42">
        <f t="shared" ca="1" si="22"/>
        <v>26905.974917580596</v>
      </c>
      <c r="O108" s="42">
        <f t="shared" ca="1" si="23"/>
        <v>0</v>
      </c>
      <c r="P108" s="42">
        <f t="shared" ca="1" si="24"/>
        <v>0.8161317040346675</v>
      </c>
      <c r="Q108" s="44">
        <f ca="1">IF(M108&lt;0,G108,IF(P108&lt;O108,G108,B108))</f>
        <v>8.0064303850041529</v>
      </c>
      <c r="R108" s="44">
        <f ca="1">IF(N108&lt;0,J108,IF(P108&lt;O108,J108,C108))</f>
        <v>4.0421105596394264</v>
      </c>
      <c r="S108" s="44">
        <f t="shared" ca="1" si="25"/>
        <v>-95.996412051682398</v>
      </c>
    </row>
    <row r="109" spans="1:19" x14ac:dyDescent="0.4">
      <c r="A109" s="42">
        <v>108</v>
      </c>
      <c r="B109" s="41">
        <f t="shared" ca="1" si="14"/>
        <v>8.0064303850041529</v>
      </c>
      <c r="C109" s="41">
        <f t="shared" ca="1" si="15"/>
        <v>4.0421105596394264</v>
      </c>
      <c r="D109" s="41">
        <f t="shared" ca="1" si="16"/>
        <v>-95.996412051682398</v>
      </c>
      <c r="E109" s="42">
        <f t="shared" ca="1" si="17"/>
        <v>0.27967639755839468</v>
      </c>
      <c r="F109" s="42">
        <v>0.5</v>
      </c>
      <c r="G109" s="43">
        <f t="shared" ca="1" si="18"/>
        <v>8.1462685837833497</v>
      </c>
      <c r="H109" s="42">
        <f t="shared" ca="1" si="19"/>
        <v>0.18747378233222034</v>
      </c>
      <c r="I109" s="42">
        <v>0.5</v>
      </c>
      <c r="J109" s="43">
        <f t="shared" ca="1" si="20"/>
        <v>4.135847450805537</v>
      </c>
      <c r="K109" s="43">
        <f t="shared" ca="1" si="21"/>
        <v>-95.941696441617282</v>
      </c>
      <c r="L109" s="42">
        <f t="shared" si="13"/>
        <v>1.1433811272836945E-5</v>
      </c>
      <c r="M109" s="42">
        <f ca="1">K109-D109</f>
        <v>5.4715610065116493E-2</v>
      </c>
      <c r="N109" s="42">
        <f t="shared" ca="1" si="22"/>
        <v>4785.4218299984686</v>
      </c>
      <c r="O109" s="42">
        <f t="shared" ca="1" si="23"/>
        <v>0</v>
      </c>
      <c r="P109" s="42">
        <f t="shared" ca="1" si="24"/>
        <v>0.99596735033394601</v>
      </c>
      <c r="Q109" s="44">
        <f ca="1">IF(M109&lt;0,G109,IF(P109&lt;O109,G109,B109))</f>
        <v>8.0064303850041529</v>
      </c>
      <c r="R109" s="44">
        <f ca="1">IF(N109&lt;0,J109,IF(P109&lt;O109,J109,C109))</f>
        <v>4.0421105596394264</v>
      </c>
      <c r="S109" s="44">
        <f t="shared" ca="1" si="25"/>
        <v>-95.996412051682398</v>
      </c>
    </row>
    <row r="110" spans="1:19" x14ac:dyDescent="0.4">
      <c r="A110" s="42">
        <v>109</v>
      </c>
      <c r="B110" s="41">
        <f t="shared" ca="1" si="14"/>
        <v>8.0064303850041529</v>
      </c>
      <c r="C110" s="41">
        <f t="shared" ca="1" si="15"/>
        <v>4.0421105596394264</v>
      </c>
      <c r="D110" s="41">
        <f t="shared" ca="1" si="16"/>
        <v>-95.996412051682398</v>
      </c>
      <c r="E110" s="42">
        <f t="shared" ca="1" si="17"/>
        <v>-0.944085893588823</v>
      </c>
      <c r="F110" s="42">
        <v>0.5</v>
      </c>
      <c r="G110" s="43">
        <f t="shared" ca="1" si="18"/>
        <v>7.5343874382097411</v>
      </c>
      <c r="H110" s="42">
        <f t="shared" ca="1" si="19"/>
        <v>-0.80176458822477237</v>
      </c>
      <c r="I110" s="42">
        <v>0.5</v>
      </c>
      <c r="J110" s="43">
        <f t="shared" ca="1" si="20"/>
        <v>3.6412282655270403</v>
      </c>
      <c r="K110" s="43">
        <f t="shared" ca="1" si="21"/>
        <v>-95.525770627389647</v>
      </c>
      <c r="L110" s="42">
        <f t="shared" si="13"/>
        <v>1.0290430145553253E-5</v>
      </c>
      <c r="M110" s="42">
        <f ca="1">K110-D110</f>
        <v>0.4706414242927508</v>
      </c>
      <c r="N110" s="42">
        <f t="shared" ca="1" si="22"/>
        <v>45735.835882052656</v>
      </c>
      <c r="O110" s="42">
        <f t="shared" ca="1" si="23"/>
        <v>0</v>
      </c>
      <c r="P110" s="42">
        <f t="shared" ca="1" si="24"/>
        <v>0.75274013139659335</v>
      </c>
      <c r="Q110" s="44">
        <f ca="1">IF(M110&lt;0,G110,IF(P110&lt;O110,G110,B110))</f>
        <v>8.0064303850041529</v>
      </c>
      <c r="R110" s="44">
        <f ca="1">IF(N110&lt;0,J110,IF(P110&lt;O110,J110,C110))</f>
        <v>4.0421105596394264</v>
      </c>
      <c r="S110" s="44">
        <f t="shared" ca="1" si="25"/>
        <v>-95.996412051682398</v>
      </c>
    </row>
    <row r="111" spans="1:19" x14ac:dyDescent="0.4">
      <c r="A111" s="42">
        <v>110</v>
      </c>
      <c r="B111" s="41">
        <f t="shared" ca="1" si="14"/>
        <v>8.0064303850041529</v>
      </c>
      <c r="C111" s="41">
        <f t="shared" ca="1" si="15"/>
        <v>4.0421105596394264</v>
      </c>
      <c r="D111" s="41">
        <f t="shared" ca="1" si="16"/>
        <v>-95.996412051682398</v>
      </c>
      <c r="E111" s="42">
        <f t="shared" ca="1" si="17"/>
        <v>0.15017588369851675</v>
      </c>
      <c r="F111" s="42">
        <v>0.5</v>
      </c>
      <c r="G111" s="43">
        <f t="shared" ca="1" si="18"/>
        <v>8.081518326853411</v>
      </c>
      <c r="H111" s="42">
        <f t="shared" ca="1" si="19"/>
        <v>-0.18481168190407415</v>
      </c>
      <c r="I111" s="42">
        <v>0.5</v>
      </c>
      <c r="J111" s="43">
        <f t="shared" ca="1" si="20"/>
        <v>3.9497047186873893</v>
      </c>
      <c r="K111" s="43">
        <f t="shared" ca="1" si="21"/>
        <v>-95.988295531742381</v>
      </c>
      <c r="L111" s="42">
        <f t="shared" si="13"/>
        <v>9.2613871309979247E-6</v>
      </c>
      <c r="M111" s="42">
        <f ca="1">K111-D111</f>
        <v>8.116519940017497E-3</v>
      </c>
      <c r="N111" s="42">
        <f t="shared" ca="1" si="22"/>
        <v>876.38275187217369</v>
      </c>
      <c r="O111" s="42">
        <f t="shared" ca="1" si="23"/>
        <v>0</v>
      </c>
      <c r="P111" s="42">
        <f t="shared" ca="1" si="24"/>
        <v>0.54490052364706043</v>
      </c>
      <c r="Q111" s="44">
        <f ca="1">IF(M111&lt;0,G111,IF(P111&lt;O111,G111,B111))</f>
        <v>8.0064303850041529</v>
      </c>
      <c r="R111" s="44">
        <f ca="1">IF(N111&lt;0,J111,IF(P111&lt;O111,J111,C111))</f>
        <v>4.0421105596394264</v>
      </c>
      <c r="S111" s="44">
        <f t="shared" ca="1" si="25"/>
        <v>-95.996412051682398</v>
      </c>
    </row>
    <row r="112" spans="1:19" x14ac:dyDescent="0.4">
      <c r="A112" s="42">
        <v>111</v>
      </c>
      <c r="B112" s="41">
        <f t="shared" ca="1" si="14"/>
        <v>8.0064303850041529</v>
      </c>
      <c r="C112" s="41">
        <f t="shared" ca="1" si="15"/>
        <v>4.0421105596394264</v>
      </c>
      <c r="D112" s="41">
        <f t="shared" ca="1" si="16"/>
        <v>-95.996412051682398</v>
      </c>
      <c r="E112" s="42">
        <f t="shared" ca="1" si="17"/>
        <v>-0.8620019200767024</v>
      </c>
      <c r="F112" s="42">
        <v>0.5</v>
      </c>
      <c r="G112" s="43">
        <f t="shared" ca="1" si="18"/>
        <v>7.5754294249658019</v>
      </c>
      <c r="H112" s="42">
        <f t="shared" ca="1" si="19"/>
        <v>0.49049822154850475</v>
      </c>
      <c r="I112" s="42">
        <v>0.5</v>
      </c>
      <c r="J112" s="43">
        <f t="shared" ca="1" si="20"/>
        <v>4.2873596704136787</v>
      </c>
      <c r="K112" s="43">
        <f t="shared" ca="1" si="21"/>
        <v>-95.654588666454615</v>
      </c>
      <c r="L112" s="42">
        <f t="shared" si="13"/>
        <v>8.3352484178981336E-6</v>
      </c>
      <c r="M112" s="42">
        <f ca="1">K112-D112</f>
        <v>0.34182338522778366</v>
      </c>
      <c r="N112" s="42">
        <f t="shared" ca="1" si="22"/>
        <v>41009.381855229687</v>
      </c>
      <c r="O112" s="42">
        <f t="shared" ca="1" si="23"/>
        <v>0</v>
      </c>
      <c r="P112" s="42">
        <f t="shared" ca="1" si="24"/>
        <v>4.0366542502664804E-2</v>
      </c>
      <c r="Q112" s="44">
        <f ca="1">IF(M112&lt;0,G112,IF(P112&lt;O112,G112,B112))</f>
        <v>8.0064303850041529</v>
      </c>
      <c r="R112" s="44">
        <f ca="1">IF(N112&lt;0,J112,IF(P112&lt;O112,J112,C112))</f>
        <v>4.0421105596394264</v>
      </c>
      <c r="S112" s="44">
        <f t="shared" ca="1" si="25"/>
        <v>-95.996412051682398</v>
      </c>
    </row>
    <row r="113" spans="1:19" x14ac:dyDescent="0.4">
      <c r="A113" s="42">
        <v>112</v>
      </c>
      <c r="B113" s="41">
        <f t="shared" ca="1" si="14"/>
        <v>8.0064303850041529</v>
      </c>
      <c r="C113" s="41">
        <f t="shared" ca="1" si="15"/>
        <v>4.0421105596394264</v>
      </c>
      <c r="D113" s="41">
        <f t="shared" ca="1" si="16"/>
        <v>-95.996412051682398</v>
      </c>
      <c r="E113" s="42">
        <f t="shared" ca="1" si="17"/>
        <v>0.72023715922170051</v>
      </c>
      <c r="F113" s="42">
        <v>0.5</v>
      </c>
      <c r="G113" s="43">
        <f t="shared" ca="1" si="18"/>
        <v>8.3665489646150029</v>
      </c>
      <c r="H113" s="42">
        <f t="shared" ca="1" si="19"/>
        <v>-0.7137670387880799</v>
      </c>
      <c r="I113" s="42">
        <v>0.5</v>
      </c>
      <c r="J113" s="43">
        <f t="shared" ca="1" si="20"/>
        <v>3.6852270402453864</v>
      </c>
      <c r="K113" s="43">
        <f t="shared" ca="1" si="21"/>
        <v>-95.667477824154304</v>
      </c>
      <c r="L113" s="42">
        <f t="shared" si="13"/>
        <v>7.5017235761083216E-6</v>
      </c>
      <c r="M113" s="42">
        <f ca="1">K113-D113</f>
        <v>0.32893422752809442</v>
      </c>
      <c r="N113" s="42">
        <f t="shared" ca="1" si="22"/>
        <v>43847.820329676295</v>
      </c>
      <c r="O113" s="42">
        <f t="shared" ca="1" si="23"/>
        <v>0</v>
      </c>
      <c r="P113" s="42">
        <f t="shared" ca="1" si="24"/>
        <v>0.41594479056447264</v>
      </c>
      <c r="Q113" s="44">
        <f ca="1">IF(M113&lt;0,G113,IF(P113&lt;O113,G113,B113))</f>
        <v>8.0064303850041529</v>
      </c>
      <c r="R113" s="44">
        <f ca="1">IF(N113&lt;0,J113,IF(P113&lt;O113,J113,C113))</f>
        <v>4.0421105596394264</v>
      </c>
      <c r="S113" s="44">
        <f t="shared" ca="1" si="25"/>
        <v>-95.996412051682398</v>
      </c>
    </row>
    <row r="114" spans="1:19" x14ac:dyDescent="0.4">
      <c r="A114" s="42">
        <v>113</v>
      </c>
      <c r="B114" s="41">
        <f t="shared" ca="1" si="14"/>
        <v>8.0064303850041529</v>
      </c>
      <c r="C114" s="41">
        <f t="shared" ca="1" si="15"/>
        <v>4.0421105596394264</v>
      </c>
      <c r="D114" s="41">
        <f t="shared" ca="1" si="16"/>
        <v>-95.996412051682398</v>
      </c>
      <c r="E114" s="42">
        <f t="shared" ca="1" si="17"/>
        <v>0.29514839393325487</v>
      </c>
      <c r="F114" s="42">
        <v>0.5</v>
      </c>
      <c r="G114" s="43">
        <f t="shared" ca="1" si="18"/>
        <v>8.1540045819707796</v>
      </c>
      <c r="H114" s="42">
        <f t="shared" ca="1" si="19"/>
        <v>0.68305142853404166</v>
      </c>
      <c r="I114" s="42">
        <v>0.5</v>
      </c>
      <c r="J114" s="43">
        <f t="shared" ca="1" si="20"/>
        <v>4.3836362739064469</v>
      </c>
      <c r="K114" s="43">
        <f t="shared" ca="1" si="21"/>
        <v>-95.681929007418361</v>
      </c>
      <c r="L114" s="42">
        <f t="shared" si="13"/>
        <v>6.7515512184974893E-6</v>
      </c>
      <c r="M114" s="42">
        <f ca="1">K114-D114</f>
        <v>0.31448304426403695</v>
      </c>
      <c r="N114" s="42">
        <f t="shared" ca="1" si="22"/>
        <v>46579.37621837711</v>
      </c>
      <c r="O114" s="42">
        <f t="shared" ca="1" si="23"/>
        <v>0</v>
      </c>
      <c r="P114" s="42">
        <f t="shared" ca="1" si="24"/>
        <v>0.41355615116639133</v>
      </c>
      <c r="Q114" s="44">
        <f ca="1">IF(M114&lt;0,G114,IF(P114&lt;O114,G114,B114))</f>
        <v>8.0064303850041529</v>
      </c>
      <c r="R114" s="44">
        <f ca="1">IF(N114&lt;0,J114,IF(P114&lt;O114,J114,C114))</f>
        <v>4.0421105596394264</v>
      </c>
      <c r="S114" s="44">
        <f t="shared" ca="1" si="25"/>
        <v>-95.996412051682398</v>
      </c>
    </row>
    <row r="115" spans="1:19" x14ac:dyDescent="0.4">
      <c r="A115" s="42">
        <v>114</v>
      </c>
      <c r="B115" s="41">
        <f t="shared" ca="1" si="14"/>
        <v>8.0064303850041529</v>
      </c>
      <c r="C115" s="41">
        <f t="shared" ca="1" si="15"/>
        <v>4.0421105596394264</v>
      </c>
      <c r="D115" s="41">
        <f t="shared" ca="1" si="16"/>
        <v>-95.996412051682398</v>
      </c>
      <c r="E115" s="42">
        <f t="shared" ca="1" si="17"/>
        <v>-0.69354616771732402</v>
      </c>
      <c r="F115" s="42">
        <v>0.5</v>
      </c>
      <c r="G115" s="43">
        <f t="shared" ca="1" si="18"/>
        <v>7.6596573011454909</v>
      </c>
      <c r="H115" s="42">
        <f t="shared" ca="1" si="19"/>
        <v>-0.19659591565166901</v>
      </c>
      <c r="I115" s="42">
        <v>0.5</v>
      </c>
      <c r="J115" s="43">
        <f t="shared" ca="1" si="20"/>
        <v>3.9438126018135922</v>
      </c>
      <c r="K115" s="43">
        <f t="shared" ca="1" si="21"/>
        <v>-95.87785279990652</v>
      </c>
      <c r="L115" s="42">
        <f t="shared" si="13"/>
        <v>6.076396096647739E-6</v>
      </c>
      <c r="M115" s="42">
        <f ca="1">K115-D115</f>
        <v>0.11855925177587778</v>
      </c>
      <c r="N115" s="42">
        <f t="shared" ca="1" si="22"/>
        <v>19511.442290815314</v>
      </c>
      <c r="O115" s="42">
        <f t="shared" ca="1" si="23"/>
        <v>0</v>
      </c>
      <c r="P115" s="42">
        <f t="shared" ca="1" si="24"/>
        <v>7.3890325836127646E-2</v>
      </c>
      <c r="Q115" s="44">
        <f ca="1">IF(M115&lt;0,G115,IF(P115&lt;O115,G115,B115))</f>
        <v>8.0064303850041529</v>
      </c>
      <c r="R115" s="44">
        <f ca="1">IF(N115&lt;0,J115,IF(P115&lt;O115,J115,C115))</f>
        <v>4.0421105596394264</v>
      </c>
      <c r="S115" s="44">
        <f t="shared" ca="1" si="25"/>
        <v>-95.996412051682398</v>
      </c>
    </row>
    <row r="116" spans="1:19" x14ac:dyDescent="0.4">
      <c r="A116" s="42">
        <v>115</v>
      </c>
      <c r="B116" s="41">
        <f t="shared" ca="1" si="14"/>
        <v>8.0064303850041529</v>
      </c>
      <c r="C116" s="41">
        <f t="shared" ca="1" si="15"/>
        <v>4.0421105596394264</v>
      </c>
      <c r="D116" s="41">
        <f t="shared" ca="1" si="16"/>
        <v>-95.996412051682398</v>
      </c>
      <c r="E116" s="42">
        <f t="shared" ca="1" si="17"/>
        <v>-7.7942557382798539E-2</v>
      </c>
      <c r="F116" s="42">
        <v>0.5</v>
      </c>
      <c r="G116" s="43">
        <f t="shared" ca="1" si="18"/>
        <v>7.967459106312754</v>
      </c>
      <c r="H116" s="42">
        <f t="shared" ca="1" si="19"/>
        <v>-0.27548191393055155</v>
      </c>
      <c r="I116" s="42">
        <v>0.5</v>
      </c>
      <c r="J116" s="43">
        <f t="shared" ca="1" si="20"/>
        <v>3.9043696026741506</v>
      </c>
      <c r="K116" s="43">
        <f t="shared" ca="1" si="21"/>
        <v>-95.980650744452632</v>
      </c>
      <c r="L116" s="42">
        <f t="shared" si="13"/>
        <v>5.4687564869829665E-6</v>
      </c>
      <c r="M116" s="42">
        <f ca="1">K116-D116</f>
        <v>1.576130722976643E-2</v>
      </c>
      <c r="N116" s="42">
        <f t="shared" ca="1" si="22"/>
        <v>2882.0641890496236</v>
      </c>
      <c r="O116" s="42">
        <f t="shared" ca="1" si="23"/>
        <v>0</v>
      </c>
      <c r="P116" s="42">
        <f t="shared" ca="1" si="24"/>
        <v>0.36842676646122641</v>
      </c>
      <c r="Q116" s="44">
        <f ca="1">IF(M116&lt;0,G116,IF(P116&lt;O116,G116,B116))</f>
        <v>8.0064303850041529</v>
      </c>
      <c r="R116" s="44">
        <f ca="1">IF(N116&lt;0,J116,IF(P116&lt;O116,J116,C116))</f>
        <v>4.0421105596394264</v>
      </c>
      <c r="S116" s="44">
        <f t="shared" ca="1" si="25"/>
        <v>-95.996412051682398</v>
      </c>
    </row>
    <row r="117" spans="1:19" x14ac:dyDescent="0.4">
      <c r="A117" s="42">
        <v>116</v>
      </c>
      <c r="B117" s="41">
        <f t="shared" ca="1" si="14"/>
        <v>8.0064303850041529</v>
      </c>
      <c r="C117" s="41">
        <f t="shared" ca="1" si="15"/>
        <v>4.0421105596394264</v>
      </c>
      <c r="D117" s="41">
        <f t="shared" ca="1" si="16"/>
        <v>-95.996412051682398</v>
      </c>
      <c r="E117" s="42">
        <f t="shared" ca="1" si="17"/>
        <v>-0.22735187891710185</v>
      </c>
      <c r="F117" s="42">
        <v>0.5</v>
      </c>
      <c r="G117" s="43">
        <f t="shared" ca="1" si="18"/>
        <v>7.8927544455456022</v>
      </c>
      <c r="H117" s="42">
        <f t="shared" ca="1" si="19"/>
        <v>-0.9339454629209738</v>
      </c>
      <c r="I117" s="42">
        <v>0.5</v>
      </c>
      <c r="J117" s="43">
        <f t="shared" ca="1" si="20"/>
        <v>3.5751378281789394</v>
      </c>
      <c r="K117" s="43">
        <f t="shared" ca="1" si="21"/>
        <v>-95.627482660960752</v>
      </c>
      <c r="L117" s="42">
        <f t="shared" si="13"/>
        <v>4.9218808382846704E-6</v>
      </c>
      <c r="M117" s="42">
        <f ca="1">K117-D117</f>
        <v>0.36892939072164666</v>
      </c>
      <c r="N117" s="42">
        <f t="shared" ca="1" si="22"/>
        <v>74956.993645994604</v>
      </c>
      <c r="O117" s="42">
        <f t="shared" ca="1" si="23"/>
        <v>0</v>
      </c>
      <c r="P117" s="42">
        <f t="shared" ca="1" si="24"/>
        <v>0.82923360690853865</v>
      </c>
      <c r="Q117" s="44">
        <f ca="1">IF(M117&lt;0,G117,IF(P117&lt;O117,G117,B117))</f>
        <v>8.0064303850041529</v>
      </c>
      <c r="R117" s="44">
        <f ca="1">IF(N117&lt;0,J117,IF(P117&lt;O117,J117,C117))</f>
        <v>4.0421105596394264</v>
      </c>
      <c r="S117" s="44">
        <f t="shared" ca="1" si="25"/>
        <v>-95.996412051682398</v>
      </c>
    </row>
    <row r="118" spans="1:19" x14ac:dyDescent="0.4">
      <c r="A118" s="42">
        <v>117</v>
      </c>
      <c r="B118" s="41">
        <f t="shared" ca="1" si="14"/>
        <v>8.0064303850041529</v>
      </c>
      <c r="C118" s="41">
        <f t="shared" ca="1" si="15"/>
        <v>4.0421105596394264</v>
      </c>
      <c r="D118" s="41">
        <f t="shared" ca="1" si="16"/>
        <v>-95.996412051682398</v>
      </c>
      <c r="E118" s="42">
        <f t="shared" ca="1" si="17"/>
        <v>0.69094642806775153</v>
      </c>
      <c r="F118" s="42">
        <v>0.5</v>
      </c>
      <c r="G118" s="43">
        <f t="shared" ca="1" si="18"/>
        <v>8.3519035990380281</v>
      </c>
      <c r="H118" s="42">
        <f t="shared" ca="1" si="19"/>
        <v>0.88714235174269418</v>
      </c>
      <c r="I118" s="42">
        <v>0.5</v>
      </c>
      <c r="J118" s="43">
        <f t="shared" ca="1" si="20"/>
        <v>4.4856817355107736</v>
      </c>
      <c r="K118" s="43">
        <f t="shared" ca="1" si="21"/>
        <v>-95.404390360566566</v>
      </c>
      <c r="L118" s="42">
        <f t="shared" si="13"/>
        <v>4.4296927544562042E-6</v>
      </c>
      <c r="M118" s="42">
        <f ca="1">K118-D118</f>
        <v>0.59202169111583203</v>
      </c>
      <c r="N118" s="42">
        <f t="shared" ca="1" si="22"/>
        <v>133648.47720426368</v>
      </c>
      <c r="O118" s="42">
        <f t="shared" ca="1" si="23"/>
        <v>0</v>
      </c>
      <c r="P118" s="42">
        <f t="shared" ca="1" si="24"/>
        <v>0.27673658404756818</v>
      </c>
      <c r="Q118" s="44">
        <f ca="1">IF(M118&lt;0,G118,IF(P118&lt;O118,G118,B118))</f>
        <v>8.0064303850041529</v>
      </c>
      <c r="R118" s="44">
        <f ca="1">IF(N118&lt;0,J118,IF(P118&lt;O118,J118,C118))</f>
        <v>4.0421105596394264</v>
      </c>
      <c r="S118" s="44">
        <f t="shared" ca="1" si="25"/>
        <v>-95.996412051682398</v>
      </c>
    </row>
    <row r="119" spans="1:19" x14ac:dyDescent="0.4">
      <c r="A119" s="42">
        <v>118</v>
      </c>
      <c r="B119" s="41">
        <f t="shared" ca="1" si="14"/>
        <v>8.0064303850041529</v>
      </c>
      <c r="C119" s="41">
        <f t="shared" ca="1" si="15"/>
        <v>4.0421105596394264</v>
      </c>
      <c r="D119" s="41">
        <f t="shared" ca="1" si="16"/>
        <v>-95.996412051682398</v>
      </c>
      <c r="E119" s="42">
        <f t="shared" ca="1" si="17"/>
        <v>0.77659853859765038</v>
      </c>
      <c r="F119" s="42">
        <v>0.5</v>
      </c>
      <c r="G119" s="43">
        <f t="shared" ca="1" si="18"/>
        <v>8.3947296543029779</v>
      </c>
      <c r="H119" s="42">
        <f t="shared" ca="1" si="19"/>
        <v>-0.55905571744627158</v>
      </c>
      <c r="I119" s="42">
        <v>0.5</v>
      </c>
      <c r="J119" s="43">
        <f t="shared" ca="1" si="20"/>
        <v>3.7625827009162904</v>
      </c>
      <c r="K119" s="43">
        <f t="shared" ca="1" si="21"/>
        <v>-95.731454552205449</v>
      </c>
      <c r="L119" s="42">
        <f t="shared" si="13"/>
        <v>3.9867234790105833E-6</v>
      </c>
      <c r="M119" s="42">
        <f ca="1">K119-D119</f>
        <v>0.26495749947694947</v>
      </c>
      <c r="N119" s="42">
        <f t="shared" ca="1" si="22"/>
        <v>66459.964146473998</v>
      </c>
      <c r="O119" s="42">
        <f t="shared" ca="1" si="23"/>
        <v>0</v>
      </c>
      <c r="P119" s="42">
        <f t="shared" ca="1" si="24"/>
        <v>0.4419293631104414</v>
      </c>
      <c r="Q119" s="44">
        <f ca="1">IF(M119&lt;0,G119,IF(P119&lt;O119,G119,B119))</f>
        <v>8.0064303850041529</v>
      </c>
      <c r="R119" s="44">
        <f ca="1">IF(N119&lt;0,J119,IF(P119&lt;O119,J119,C119))</f>
        <v>4.0421105596394264</v>
      </c>
      <c r="S119" s="44">
        <f t="shared" ca="1" si="25"/>
        <v>-95.996412051682398</v>
      </c>
    </row>
    <row r="120" spans="1:19" x14ac:dyDescent="0.4">
      <c r="A120" s="42">
        <v>119</v>
      </c>
      <c r="B120" s="41">
        <f t="shared" ca="1" si="14"/>
        <v>8.0064303850041529</v>
      </c>
      <c r="C120" s="41">
        <f t="shared" ca="1" si="15"/>
        <v>4.0421105596394264</v>
      </c>
      <c r="D120" s="41">
        <f t="shared" ca="1" si="16"/>
        <v>-95.996412051682398</v>
      </c>
      <c r="E120" s="42">
        <f t="shared" ca="1" si="17"/>
        <v>-0.49091941390271221</v>
      </c>
      <c r="F120" s="42">
        <v>0.5</v>
      </c>
      <c r="G120" s="43">
        <f t="shared" ca="1" si="18"/>
        <v>7.7609706780527965</v>
      </c>
      <c r="H120" s="42">
        <f t="shared" ca="1" si="19"/>
        <v>-0.29718935839763172</v>
      </c>
      <c r="I120" s="42">
        <v>0.5</v>
      </c>
      <c r="J120" s="43">
        <f t="shared" ca="1" si="20"/>
        <v>3.8935158804406105</v>
      </c>
      <c r="K120" s="43">
        <f t="shared" ca="1" si="21"/>
        <v>-95.920187247812777</v>
      </c>
      <c r="L120" s="42">
        <f t="shared" si="13"/>
        <v>3.588051131109525E-6</v>
      </c>
      <c r="M120" s="42">
        <f ca="1">K120-D120</f>
        <v>7.6224803869621383E-2</v>
      </c>
      <c r="N120" s="42">
        <f t="shared" ca="1" si="22"/>
        <v>21244.068460655006</v>
      </c>
      <c r="O120" s="42">
        <f t="shared" ca="1" si="23"/>
        <v>0</v>
      </c>
      <c r="P120" s="42">
        <f t="shared" ca="1" si="24"/>
        <v>0.17191581575340742</v>
      </c>
      <c r="Q120" s="44">
        <f ca="1">IF(M120&lt;0,G120,IF(P120&lt;O120,G120,B120))</f>
        <v>8.0064303850041529</v>
      </c>
      <c r="R120" s="44">
        <f ca="1">IF(N120&lt;0,J120,IF(P120&lt;O120,J120,C120))</f>
        <v>4.0421105596394264</v>
      </c>
      <c r="S120" s="44">
        <f t="shared" ca="1" si="25"/>
        <v>-95.996412051682398</v>
      </c>
    </row>
    <row r="121" spans="1:19" x14ac:dyDescent="0.4">
      <c r="A121" s="42">
        <v>120</v>
      </c>
      <c r="B121" s="41">
        <f t="shared" ca="1" si="14"/>
        <v>8.0064303850041529</v>
      </c>
      <c r="C121" s="41">
        <f t="shared" ca="1" si="15"/>
        <v>4.0421105596394264</v>
      </c>
      <c r="D121" s="41">
        <f t="shared" ca="1" si="16"/>
        <v>-95.996412051682398</v>
      </c>
      <c r="E121" s="42">
        <f t="shared" ca="1" si="17"/>
        <v>0.28996860502869137</v>
      </c>
      <c r="F121" s="42">
        <v>0.5</v>
      </c>
      <c r="G121" s="43">
        <f t="shared" ca="1" si="18"/>
        <v>8.1514146875184981</v>
      </c>
      <c r="H121" s="42">
        <f t="shared" ca="1" si="19"/>
        <v>0.72933768611983907</v>
      </c>
      <c r="I121" s="42">
        <v>0.5</v>
      </c>
      <c r="J121" s="43">
        <f t="shared" ca="1" si="20"/>
        <v>4.4067794026993461</v>
      </c>
      <c r="K121" s="43">
        <f t="shared" ca="1" si="21"/>
        <v>-95.646134627482795</v>
      </c>
      <c r="L121" s="42">
        <f t="shared" si="13"/>
        <v>3.2292460179985725E-6</v>
      </c>
      <c r="M121" s="42">
        <f ca="1">K121-D121</f>
        <v>0.35027742419960362</v>
      </c>
      <c r="N121" s="42">
        <f t="shared" ca="1" si="22"/>
        <v>108470.34330840458</v>
      </c>
      <c r="O121" s="42">
        <f t="shared" ca="1" si="23"/>
        <v>0</v>
      </c>
      <c r="P121" s="42">
        <f t="shared" ca="1" si="24"/>
        <v>0.12045166524645101</v>
      </c>
      <c r="Q121" s="44">
        <f ca="1">IF(M121&lt;0,G121,IF(P121&lt;O121,G121,B121))</f>
        <v>8.0064303850041529</v>
      </c>
      <c r="R121" s="44">
        <f ca="1">IF(N121&lt;0,J121,IF(P121&lt;O121,J121,C121))</f>
        <v>4.0421105596394264</v>
      </c>
      <c r="S121" s="44">
        <f t="shared" ca="1" si="25"/>
        <v>-95.996412051682398</v>
      </c>
    </row>
    <row r="122" spans="1:19" x14ac:dyDescent="0.4">
      <c r="A122" s="42">
        <v>121</v>
      </c>
      <c r="B122" s="41">
        <f t="shared" ca="1" si="14"/>
        <v>8.0064303850041529</v>
      </c>
      <c r="C122" s="41">
        <f t="shared" ca="1" si="15"/>
        <v>4.0421105596394264</v>
      </c>
      <c r="D122" s="41">
        <f t="shared" ca="1" si="16"/>
        <v>-95.996412051682398</v>
      </c>
      <c r="E122" s="42">
        <f t="shared" ca="1" si="17"/>
        <v>-6.4721831005253971E-2</v>
      </c>
      <c r="F122" s="42">
        <v>0.5</v>
      </c>
      <c r="G122" s="43">
        <f t="shared" ca="1" si="18"/>
        <v>7.9740694695015257</v>
      </c>
      <c r="H122" s="42">
        <f t="shared" ca="1" si="19"/>
        <v>4.6142608839160326E-2</v>
      </c>
      <c r="I122" s="42">
        <v>0.5</v>
      </c>
      <c r="J122" s="43">
        <f t="shared" ca="1" si="20"/>
        <v>4.0651818640590065</v>
      </c>
      <c r="K122" s="43">
        <f t="shared" ca="1" si="21"/>
        <v>-95.990830256783653</v>
      </c>
      <c r="L122" s="42">
        <f t="shared" si="13"/>
        <v>2.9063214161987154E-6</v>
      </c>
      <c r="M122" s="42">
        <f ca="1">K122-D122</f>
        <v>5.5817948987453292E-3</v>
      </c>
      <c r="N122" s="42">
        <f t="shared" ca="1" si="22"/>
        <v>1920.5704047854294</v>
      </c>
      <c r="O122" s="42">
        <f t="shared" ca="1" si="23"/>
        <v>0</v>
      </c>
      <c r="P122" s="42">
        <f t="shared" ca="1" si="24"/>
        <v>0.84053772804593008</v>
      </c>
      <c r="Q122" s="44">
        <f ca="1">IF(M122&lt;0,G122,IF(P122&lt;O122,G122,B122))</f>
        <v>8.0064303850041529</v>
      </c>
      <c r="R122" s="44">
        <f ca="1">IF(N122&lt;0,J122,IF(P122&lt;O122,J122,C122))</f>
        <v>4.0421105596394264</v>
      </c>
      <c r="S122" s="44">
        <f t="shared" ca="1" si="25"/>
        <v>-95.996412051682398</v>
      </c>
    </row>
    <row r="123" spans="1:19" x14ac:dyDescent="0.4">
      <c r="A123" s="42">
        <v>122</v>
      </c>
      <c r="B123" s="41">
        <f t="shared" ca="1" si="14"/>
        <v>8.0064303850041529</v>
      </c>
      <c r="C123" s="41">
        <f t="shared" ca="1" si="15"/>
        <v>4.0421105596394264</v>
      </c>
      <c r="D123" s="41">
        <f t="shared" ca="1" si="16"/>
        <v>-95.996412051682398</v>
      </c>
      <c r="E123" s="42">
        <f t="shared" ca="1" si="17"/>
        <v>-0.50880326661912201</v>
      </c>
      <c r="F123" s="42">
        <v>0.5</v>
      </c>
      <c r="G123" s="43">
        <f t="shared" ca="1" si="18"/>
        <v>7.752028751694592</v>
      </c>
      <c r="H123" s="42">
        <f t="shared" ca="1" si="19"/>
        <v>0.76700142014345984</v>
      </c>
      <c r="I123" s="42">
        <v>0.5</v>
      </c>
      <c r="J123" s="43">
        <f t="shared" ca="1" si="20"/>
        <v>4.4256112697111565</v>
      </c>
      <c r="K123" s="43">
        <f t="shared" ca="1" si="21"/>
        <v>-95.576220354203571</v>
      </c>
      <c r="L123" s="42">
        <f t="shared" si="13"/>
        <v>2.6156892745788442E-6</v>
      </c>
      <c r="M123" s="42">
        <f ca="1">K123-D123</f>
        <v>0.42019169747882756</v>
      </c>
      <c r="N123" s="42">
        <f t="shared" ca="1" si="22"/>
        <v>160642.81853450779</v>
      </c>
      <c r="O123" s="42">
        <f t="shared" ca="1" si="23"/>
        <v>0</v>
      </c>
      <c r="P123" s="42">
        <f t="shared" ca="1" si="24"/>
        <v>0.39566901309734115</v>
      </c>
      <c r="Q123" s="44">
        <f ca="1">IF(M123&lt;0,G123,IF(P123&lt;O123,G123,B123))</f>
        <v>8.0064303850041529</v>
      </c>
      <c r="R123" s="44">
        <f ca="1">IF(N123&lt;0,J123,IF(P123&lt;O123,J123,C123))</f>
        <v>4.0421105596394264</v>
      </c>
      <c r="S123" s="44">
        <f t="shared" ca="1" si="25"/>
        <v>-95.996412051682398</v>
      </c>
    </row>
    <row r="124" spans="1:19" x14ac:dyDescent="0.4">
      <c r="A124" s="42">
        <v>123</v>
      </c>
      <c r="B124" s="41">
        <f t="shared" ca="1" si="14"/>
        <v>8.0064303850041529</v>
      </c>
      <c r="C124" s="41">
        <f t="shared" ca="1" si="15"/>
        <v>4.0421105596394264</v>
      </c>
      <c r="D124" s="41">
        <f t="shared" ca="1" si="16"/>
        <v>-95.996412051682398</v>
      </c>
      <c r="E124" s="42">
        <f t="shared" ca="1" si="17"/>
        <v>-0.65705214560767322</v>
      </c>
      <c r="F124" s="42">
        <v>0.5</v>
      </c>
      <c r="G124" s="43">
        <f t="shared" ca="1" si="18"/>
        <v>7.6779043122003161</v>
      </c>
      <c r="H124" s="42">
        <f t="shared" ca="1" si="19"/>
        <v>-0.78324614273633575</v>
      </c>
      <c r="I124" s="42">
        <v>0.5</v>
      </c>
      <c r="J124" s="43">
        <f t="shared" ca="1" si="20"/>
        <v>3.6504874882712586</v>
      </c>
      <c r="K124" s="43">
        <f t="shared" ca="1" si="21"/>
        <v>-95.651936376190974</v>
      </c>
      <c r="L124" s="42">
        <f t="shared" si="13"/>
        <v>2.35412034712096E-6</v>
      </c>
      <c r="M124" s="42">
        <f ca="1">K124-D124</f>
        <v>0.34447567549142377</v>
      </c>
      <c r="N124" s="42">
        <f t="shared" ca="1" si="22"/>
        <v>146328.82975278233</v>
      </c>
      <c r="O124" s="42">
        <f t="shared" ca="1" si="23"/>
        <v>0</v>
      </c>
      <c r="P124" s="42">
        <f t="shared" ca="1" si="24"/>
        <v>0.82318382778273258</v>
      </c>
      <c r="Q124" s="44">
        <f ca="1">IF(M124&lt;0,G124,IF(P124&lt;O124,G124,B124))</f>
        <v>8.0064303850041529</v>
      </c>
      <c r="R124" s="44">
        <f ca="1">IF(N124&lt;0,J124,IF(P124&lt;O124,J124,C124))</f>
        <v>4.0421105596394264</v>
      </c>
      <c r="S124" s="44">
        <f t="shared" ca="1" si="25"/>
        <v>-95.996412051682398</v>
      </c>
    </row>
    <row r="125" spans="1:19" x14ac:dyDescent="0.4">
      <c r="A125" s="42">
        <v>124</v>
      </c>
      <c r="B125" s="41">
        <f t="shared" ca="1" si="14"/>
        <v>8.0064303850041529</v>
      </c>
      <c r="C125" s="41">
        <f t="shared" ca="1" si="15"/>
        <v>4.0421105596394264</v>
      </c>
      <c r="D125" s="41">
        <f t="shared" ca="1" si="16"/>
        <v>-95.996412051682398</v>
      </c>
      <c r="E125" s="42">
        <f t="shared" ca="1" si="17"/>
        <v>-0.80895664428976555</v>
      </c>
      <c r="F125" s="42">
        <v>0.5</v>
      </c>
      <c r="G125" s="43">
        <f t="shared" ca="1" si="18"/>
        <v>7.6019520628592705</v>
      </c>
      <c r="H125" s="42">
        <f t="shared" ca="1" si="19"/>
        <v>0.77081291203161717</v>
      </c>
      <c r="I125" s="42">
        <v>0.5</v>
      </c>
      <c r="J125" s="43">
        <f t="shared" ca="1" si="20"/>
        <v>4.4275170156552353</v>
      </c>
      <c r="K125" s="43">
        <f t="shared" ca="1" si="21"/>
        <v>-95.476016242388482</v>
      </c>
      <c r="L125" s="42">
        <f t="shared" si="13"/>
        <v>2.1187083124088643E-6</v>
      </c>
      <c r="M125" s="42">
        <f ca="1">K125-D125</f>
        <v>0.52039580929391605</v>
      </c>
      <c r="N125" s="42">
        <f t="shared" ca="1" si="22"/>
        <v>245619.37395820773</v>
      </c>
      <c r="O125" s="42">
        <f t="shared" ca="1" si="23"/>
        <v>0</v>
      </c>
      <c r="P125" s="42">
        <f t="shared" ca="1" si="24"/>
        <v>0.13696434599482565</v>
      </c>
      <c r="Q125" s="44">
        <f ca="1">IF(M125&lt;0,G125,IF(P125&lt;O125,G125,B125))</f>
        <v>8.0064303850041529</v>
      </c>
      <c r="R125" s="44">
        <f ca="1">IF(N125&lt;0,J125,IF(P125&lt;O125,J125,C125))</f>
        <v>4.0421105596394264</v>
      </c>
      <c r="S125" s="44">
        <f t="shared" ca="1" si="25"/>
        <v>-95.996412051682398</v>
      </c>
    </row>
    <row r="126" spans="1:19" x14ac:dyDescent="0.4">
      <c r="A126" s="42">
        <v>125</v>
      </c>
      <c r="B126" s="41">
        <f t="shared" ca="1" si="14"/>
        <v>8.0064303850041529</v>
      </c>
      <c r="C126" s="41">
        <f t="shared" ca="1" si="15"/>
        <v>4.0421105596394264</v>
      </c>
      <c r="D126" s="41">
        <f t="shared" ca="1" si="16"/>
        <v>-95.996412051682398</v>
      </c>
      <c r="E126" s="42">
        <f t="shared" ca="1" si="17"/>
        <v>-0.91192547290725434</v>
      </c>
      <c r="F126" s="42">
        <v>0.5</v>
      </c>
      <c r="G126" s="43">
        <f t="shared" ca="1" si="18"/>
        <v>7.5504676485505255</v>
      </c>
      <c r="H126" s="42">
        <f t="shared" ca="1" si="19"/>
        <v>0.61744288960300064</v>
      </c>
      <c r="I126" s="42">
        <v>0.5</v>
      </c>
      <c r="J126" s="43">
        <f t="shared" ca="1" si="20"/>
        <v>4.3508320044409263</v>
      </c>
      <c r="K126" s="43">
        <f t="shared" ca="1" si="21"/>
        <v>-95.551754474320234</v>
      </c>
      <c r="L126" s="42">
        <f t="shared" si="13"/>
        <v>1.9068374811679779E-6</v>
      </c>
      <c r="M126" s="42">
        <f ca="1">K126-D126</f>
        <v>0.4446575773621646</v>
      </c>
      <c r="N126" s="42">
        <f t="shared" ca="1" si="22"/>
        <v>233191.12496666602</v>
      </c>
      <c r="O126" s="42">
        <f t="shared" ca="1" si="23"/>
        <v>0</v>
      </c>
      <c r="P126" s="42">
        <f t="shared" ca="1" si="24"/>
        <v>0.11365250049133424</v>
      </c>
      <c r="Q126" s="44">
        <f ca="1">IF(M126&lt;0,G126,IF(P126&lt;O126,G126,B126))</f>
        <v>8.0064303850041529</v>
      </c>
      <c r="R126" s="44">
        <f ca="1">IF(N126&lt;0,J126,IF(P126&lt;O126,J126,C126))</f>
        <v>4.0421105596394264</v>
      </c>
      <c r="S126" s="44">
        <f t="shared" ca="1" si="25"/>
        <v>-95.996412051682398</v>
      </c>
    </row>
    <row r="127" spans="1:19" x14ac:dyDescent="0.4">
      <c r="A127" s="42">
        <v>126</v>
      </c>
      <c r="B127" s="41">
        <f t="shared" ca="1" si="14"/>
        <v>8.0064303850041529</v>
      </c>
      <c r="C127" s="41">
        <f t="shared" ca="1" si="15"/>
        <v>4.0421105596394264</v>
      </c>
      <c r="D127" s="41">
        <f t="shared" ca="1" si="16"/>
        <v>-95.996412051682398</v>
      </c>
      <c r="E127" s="42">
        <f t="shared" ca="1" si="17"/>
        <v>0.88073491610550181</v>
      </c>
      <c r="F127" s="42">
        <v>0.5</v>
      </c>
      <c r="G127" s="43">
        <f t="shared" ca="1" si="18"/>
        <v>8.4467978430569044</v>
      </c>
      <c r="H127" s="42">
        <f t="shared" ca="1" si="19"/>
        <v>-0.83070691923259088</v>
      </c>
      <c r="I127" s="42">
        <v>0.5</v>
      </c>
      <c r="J127" s="43">
        <f t="shared" ca="1" si="20"/>
        <v>3.6267571000231311</v>
      </c>
      <c r="K127" s="43">
        <f t="shared" ca="1" si="21"/>
        <v>-95.521751162673411</v>
      </c>
      <c r="L127" s="42">
        <f t="shared" si="13"/>
        <v>1.7161537330511802E-6</v>
      </c>
      <c r="M127" s="42">
        <f ca="1">K127-D127</f>
        <v>0.4746608890089874</v>
      </c>
      <c r="N127" s="42">
        <f t="shared" ca="1" si="22"/>
        <v>276584.13105280453</v>
      </c>
      <c r="O127" s="42">
        <f t="shared" ca="1" si="23"/>
        <v>0</v>
      </c>
      <c r="P127" s="42">
        <f t="shared" ca="1" si="24"/>
        <v>0.735831113333138</v>
      </c>
      <c r="Q127" s="44">
        <f ca="1">IF(M127&lt;0,G127,IF(P127&lt;O127,G127,B127))</f>
        <v>8.0064303850041529</v>
      </c>
      <c r="R127" s="44">
        <f ca="1">IF(N127&lt;0,J127,IF(P127&lt;O127,J127,C127))</f>
        <v>4.0421105596394264</v>
      </c>
      <c r="S127" s="44">
        <f t="shared" ca="1" si="25"/>
        <v>-95.996412051682398</v>
      </c>
    </row>
    <row r="128" spans="1:19" x14ac:dyDescent="0.4">
      <c r="A128" s="42">
        <v>127</v>
      </c>
      <c r="B128" s="41">
        <f t="shared" ca="1" si="14"/>
        <v>8.0064303850041529</v>
      </c>
      <c r="C128" s="41">
        <f t="shared" ca="1" si="15"/>
        <v>4.0421105596394264</v>
      </c>
      <c r="D128" s="41">
        <f t="shared" ca="1" si="16"/>
        <v>-95.996412051682398</v>
      </c>
      <c r="E128" s="42">
        <f t="shared" ca="1" si="17"/>
        <v>0.66436078669701315</v>
      </c>
      <c r="F128" s="42">
        <v>0.5</v>
      </c>
      <c r="G128" s="43">
        <f t="shared" ca="1" si="18"/>
        <v>8.3386107783526597</v>
      </c>
      <c r="H128" s="42">
        <f t="shared" ca="1" si="19"/>
        <v>0.64235781167692063</v>
      </c>
      <c r="I128" s="42">
        <v>0.5</v>
      </c>
      <c r="J128" s="43">
        <f t="shared" ca="1" si="20"/>
        <v>4.3632894654778864</v>
      </c>
      <c r="K128" s="43">
        <f t="shared" ca="1" si="21"/>
        <v>-95.621384269328985</v>
      </c>
      <c r="L128" s="42">
        <f t="shared" si="13"/>
        <v>1.5445383597460621E-6</v>
      </c>
      <c r="M128" s="42">
        <f ca="1">K128-D128</f>
        <v>0.37502778235341339</v>
      </c>
      <c r="N128" s="42">
        <f t="shared" ca="1" si="22"/>
        <v>242808.97912763513</v>
      </c>
      <c r="O128" s="42">
        <f t="shared" ca="1" si="23"/>
        <v>0</v>
      </c>
      <c r="P128" s="42">
        <f t="shared" ca="1" si="24"/>
        <v>0.26889684904144484</v>
      </c>
      <c r="Q128" s="44">
        <f ca="1">IF(M128&lt;0,G128,IF(P128&lt;O128,G128,B128))</f>
        <v>8.0064303850041529</v>
      </c>
      <c r="R128" s="44">
        <f ca="1">IF(N128&lt;0,J128,IF(P128&lt;O128,J128,C128))</f>
        <v>4.0421105596394264</v>
      </c>
      <c r="S128" s="44">
        <f t="shared" ca="1" si="25"/>
        <v>-95.996412051682398</v>
      </c>
    </row>
    <row r="129" spans="1:19" x14ac:dyDescent="0.4">
      <c r="A129" s="42">
        <v>128</v>
      </c>
      <c r="B129" s="41">
        <f t="shared" ca="1" si="14"/>
        <v>8.0064303850041529</v>
      </c>
      <c r="C129" s="41">
        <f t="shared" ca="1" si="15"/>
        <v>4.0421105596394264</v>
      </c>
      <c r="D129" s="41">
        <f t="shared" ca="1" si="16"/>
        <v>-95.996412051682398</v>
      </c>
      <c r="E129" s="42">
        <f t="shared" ca="1" si="17"/>
        <v>8.9314522267483598E-2</v>
      </c>
      <c r="F129" s="42">
        <v>0.5</v>
      </c>
      <c r="G129" s="43">
        <f t="shared" ca="1" si="18"/>
        <v>8.0510876461378942</v>
      </c>
      <c r="H129" s="42">
        <f t="shared" ca="1" si="19"/>
        <v>-0.84155865337354174</v>
      </c>
      <c r="I129" s="42">
        <v>0.5</v>
      </c>
      <c r="J129" s="43">
        <f t="shared" ca="1" si="20"/>
        <v>3.6213312329526555</v>
      </c>
      <c r="K129" s="43">
        <f t="shared" ca="1" si="21"/>
        <v>-95.710609982137782</v>
      </c>
      <c r="L129" s="42">
        <f t="shared" si="13"/>
        <v>1.3900845237714559E-6</v>
      </c>
      <c r="M129" s="42">
        <f ca="1">K129-D129</f>
        <v>0.28580206954461573</v>
      </c>
      <c r="N129" s="42">
        <f t="shared" ca="1" si="22"/>
        <v>205600.49742097879</v>
      </c>
      <c r="O129" s="42">
        <f t="shared" ca="1" si="23"/>
        <v>0</v>
      </c>
      <c r="P129" s="42">
        <f t="shared" ca="1" si="24"/>
        <v>0.28324035614950849</v>
      </c>
      <c r="Q129" s="44">
        <f ca="1">IF(M129&lt;0,G129,IF(P129&lt;O129,G129,B129))</f>
        <v>8.0064303850041529</v>
      </c>
      <c r="R129" s="44">
        <f ca="1">IF(N129&lt;0,J129,IF(P129&lt;O129,J129,C129))</f>
        <v>4.0421105596394264</v>
      </c>
      <c r="S129" s="44">
        <f t="shared" ca="1" si="25"/>
        <v>-95.996412051682398</v>
      </c>
    </row>
    <row r="130" spans="1:19" x14ac:dyDescent="0.4">
      <c r="A130" s="42">
        <v>129</v>
      </c>
      <c r="B130" s="41">
        <f t="shared" ca="1" si="14"/>
        <v>8.0064303850041529</v>
      </c>
      <c r="C130" s="41">
        <f t="shared" ca="1" si="15"/>
        <v>4.0421105596394264</v>
      </c>
      <c r="D130" s="41">
        <f t="shared" ca="1" si="16"/>
        <v>-95.996412051682398</v>
      </c>
      <c r="E130" s="42">
        <f t="shared" ca="1" si="17"/>
        <v>-8.9703461542945728E-2</v>
      </c>
      <c r="F130" s="42">
        <v>0.5</v>
      </c>
      <c r="G130" s="43">
        <f t="shared" ca="1" si="18"/>
        <v>7.9615786542326799</v>
      </c>
      <c r="H130" s="42">
        <f t="shared" ca="1" si="19"/>
        <v>0.56179247940379495</v>
      </c>
      <c r="I130" s="42">
        <v>0.5</v>
      </c>
      <c r="J130" s="43">
        <f t="shared" ca="1" si="20"/>
        <v>4.3230067993413241</v>
      </c>
      <c r="K130" s="43">
        <f t="shared" ca="1" si="21"/>
        <v>-95.789857015347962</v>
      </c>
      <c r="L130" s="42">
        <f t="shared" si="13"/>
        <v>1.2510760713943105E-6</v>
      </c>
      <c r="M130" s="42">
        <f ca="1">K130-D130</f>
        <v>0.20655503633443573</v>
      </c>
      <c r="N130" s="42">
        <f t="shared" ca="1" si="22"/>
        <v>165101.8999222265</v>
      </c>
      <c r="O130" s="42">
        <f t="shared" ca="1" si="23"/>
        <v>0</v>
      </c>
      <c r="P130" s="42">
        <f t="shared" ca="1" si="24"/>
        <v>0.13235256862472444</v>
      </c>
      <c r="Q130" s="44">
        <f ca="1">IF(M130&lt;0,G130,IF(P130&lt;O130,G130,B130))</f>
        <v>8.0064303850041529</v>
      </c>
      <c r="R130" s="44">
        <f ca="1">IF(N130&lt;0,J130,IF(P130&lt;O130,J130,C130))</f>
        <v>4.0421105596394264</v>
      </c>
      <c r="S130" s="44">
        <f t="shared" ca="1" si="25"/>
        <v>-95.996412051682398</v>
      </c>
    </row>
    <row r="131" spans="1:19" x14ac:dyDescent="0.4">
      <c r="A131" s="42">
        <v>130</v>
      </c>
      <c r="B131" s="41">
        <f t="shared" ca="1" si="14"/>
        <v>8.0064303850041529</v>
      </c>
      <c r="C131" s="41">
        <f t="shared" ca="1" si="15"/>
        <v>4.0421105596394264</v>
      </c>
      <c r="D131" s="41">
        <f t="shared" ca="1" si="16"/>
        <v>-95.996412051682398</v>
      </c>
      <c r="E131" s="42">
        <f t="shared" ca="1" si="17"/>
        <v>0.30921243320450253</v>
      </c>
      <c r="F131" s="42">
        <v>0.5</v>
      </c>
      <c r="G131" s="43">
        <f t="shared" ca="1" si="18"/>
        <v>8.1610366016064049</v>
      </c>
      <c r="H131" s="42">
        <f t="shared" ca="1" si="19"/>
        <v>-0.22888446612837132</v>
      </c>
      <c r="I131" s="42">
        <v>0.5</v>
      </c>
      <c r="J131" s="43">
        <f t="shared" ca="1" si="20"/>
        <v>3.9276683265752408</v>
      </c>
      <c r="K131" s="43">
        <f t="shared" ca="1" si="21"/>
        <v>-95.963603470982207</v>
      </c>
      <c r="L131" s="42">
        <f t="shared" ref="L131:L194" si="26">(0.9^A131)*1</f>
        <v>1.1259684642548795E-6</v>
      </c>
      <c r="M131" s="42">
        <f ca="1">K131-D131</f>
        <v>3.2808580700191214E-2</v>
      </c>
      <c r="N131" s="42">
        <f t="shared" ca="1" si="22"/>
        <v>29138.099104669516</v>
      </c>
      <c r="O131" s="42">
        <f t="shared" ca="1" si="23"/>
        <v>0</v>
      </c>
      <c r="P131" s="42">
        <f t="shared" ca="1" si="24"/>
        <v>0.83490696032146072</v>
      </c>
      <c r="Q131" s="44">
        <f ca="1">IF(M131&lt;0,G131,IF(P131&lt;O131,G131,B131))</f>
        <v>8.0064303850041529</v>
      </c>
      <c r="R131" s="44">
        <f ca="1">IF(N131&lt;0,J131,IF(P131&lt;O131,J131,C131))</f>
        <v>4.0421105596394264</v>
      </c>
      <c r="S131" s="44">
        <f t="shared" ca="1" si="25"/>
        <v>-95.996412051682398</v>
      </c>
    </row>
    <row r="132" spans="1:19" x14ac:dyDescent="0.4">
      <c r="A132" s="42">
        <v>131</v>
      </c>
      <c r="B132" s="41">
        <f t="shared" ref="B132:B195" ca="1" si="27">Q131</f>
        <v>8.0064303850041529</v>
      </c>
      <c r="C132" s="41">
        <f t="shared" ref="C132:C195" ca="1" si="28">R131</f>
        <v>4.0421105596394264</v>
      </c>
      <c r="D132" s="41">
        <f t="shared" ref="D132:D195" ca="1" si="29">S131</f>
        <v>-95.996412051682398</v>
      </c>
      <c r="E132" s="42">
        <f t="shared" ref="E132:E195" ca="1" si="30">2*(RAND()-0.5)</f>
        <v>-0.56028521825927502</v>
      </c>
      <c r="F132" s="42">
        <v>0.5</v>
      </c>
      <c r="G132" s="43">
        <f t="shared" ref="G132:G195" ca="1" si="31">B132+E132*F132</f>
        <v>7.7262877758745159</v>
      </c>
      <c r="H132" s="42">
        <f t="shared" ref="H132:H195" ca="1" si="32">2*(RAND()-0.5)</f>
        <v>-9.2571424473592012E-2</v>
      </c>
      <c r="I132" s="42">
        <v>0.5</v>
      </c>
      <c r="J132" s="43">
        <f t="shared" ref="J132:J195" ca="1" si="33">C132+H132*I132</f>
        <v>3.9958248474026306</v>
      </c>
      <c r="K132" s="43">
        <f t="shared" ref="K132:K195" ca="1" si="34">G132^2-16*G132+2*J132^2-16*J132</f>
        <v>-95.925046754565855</v>
      </c>
      <c r="L132" s="42">
        <f t="shared" si="26"/>
        <v>1.0133716178293915E-6</v>
      </c>
      <c r="M132" s="42">
        <f ca="1">K132-D132</f>
        <v>7.1365297116543047E-2</v>
      </c>
      <c r="N132" s="42">
        <f t="shared" ref="N132:N195" ca="1" si="35">M132/L132</f>
        <v>70423.619391872402</v>
      </c>
      <c r="O132" s="42">
        <f t="shared" ref="O132:O195" ca="1" si="36">IF(M132&lt;0,1,EXP(-N132))</f>
        <v>0</v>
      </c>
      <c r="P132" s="42">
        <f t="shared" ref="P132:P195" ca="1" si="37">RAND()</f>
        <v>0.20145719059211009</v>
      </c>
      <c r="Q132" s="44">
        <f ca="1">IF(M132&lt;0,G132,IF(P132&lt;O132,G132,B132))</f>
        <v>8.0064303850041529</v>
      </c>
      <c r="R132" s="44">
        <f ca="1">IF(N132&lt;0,J132,IF(P132&lt;O132,J132,C132))</f>
        <v>4.0421105596394264</v>
      </c>
      <c r="S132" s="44">
        <f t="shared" ref="S132:S195" ca="1" si="38">Q132^2-16*Q132+2*R132^2-16*R132</f>
        <v>-95.996412051682398</v>
      </c>
    </row>
    <row r="133" spans="1:19" x14ac:dyDescent="0.4">
      <c r="A133" s="42">
        <v>132</v>
      </c>
      <c r="B133" s="41">
        <f t="shared" ca="1" si="27"/>
        <v>8.0064303850041529</v>
      </c>
      <c r="C133" s="41">
        <f t="shared" ca="1" si="28"/>
        <v>4.0421105596394264</v>
      </c>
      <c r="D133" s="41">
        <f t="shared" ca="1" si="29"/>
        <v>-95.996412051682398</v>
      </c>
      <c r="E133" s="42">
        <f t="shared" ca="1" si="30"/>
        <v>-0.97968846996351067</v>
      </c>
      <c r="F133" s="42">
        <v>0.5</v>
      </c>
      <c r="G133" s="43">
        <f t="shared" ca="1" si="31"/>
        <v>7.5165861500223974</v>
      </c>
      <c r="H133" s="42">
        <f t="shared" ca="1" si="32"/>
        <v>0.63372420227631454</v>
      </c>
      <c r="I133" s="42">
        <v>0.5</v>
      </c>
      <c r="J133" s="43">
        <f t="shared" ca="1" si="33"/>
        <v>4.3589726607775834</v>
      </c>
      <c r="K133" s="43">
        <f t="shared" ca="1" si="34"/>
        <v>-95.508588307278359</v>
      </c>
      <c r="L133" s="42">
        <f t="shared" si="26"/>
        <v>9.1203445604645241E-7</v>
      </c>
      <c r="M133" s="42">
        <f ca="1">K133-D133</f>
        <v>0.48782374440403942</v>
      </c>
      <c r="N133" s="42">
        <f t="shared" ca="1" si="35"/>
        <v>534874.24863166921</v>
      </c>
      <c r="O133" s="42">
        <f t="shared" ca="1" si="36"/>
        <v>0</v>
      </c>
      <c r="P133" s="42">
        <f t="shared" ca="1" si="37"/>
        <v>0.76661703270740844</v>
      </c>
      <c r="Q133" s="44">
        <f ca="1">IF(M133&lt;0,G133,IF(P133&lt;O133,G133,B133))</f>
        <v>8.0064303850041529</v>
      </c>
      <c r="R133" s="44">
        <f ca="1">IF(N133&lt;0,J133,IF(P133&lt;O133,J133,C133))</f>
        <v>4.0421105596394264</v>
      </c>
      <c r="S133" s="44">
        <f t="shared" ca="1" si="38"/>
        <v>-95.996412051682398</v>
      </c>
    </row>
    <row r="134" spans="1:19" x14ac:dyDescent="0.4">
      <c r="A134" s="42">
        <v>133</v>
      </c>
      <c r="B134" s="41">
        <f t="shared" ca="1" si="27"/>
        <v>8.0064303850041529</v>
      </c>
      <c r="C134" s="41">
        <f t="shared" ca="1" si="28"/>
        <v>4.0421105596394264</v>
      </c>
      <c r="D134" s="41">
        <f t="shared" ca="1" si="29"/>
        <v>-95.996412051682398</v>
      </c>
      <c r="E134" s="42">
        <f t="shared" ca="1" si="30"/>
        <v>-0.34741153079071663</v>
      </c>
      <c r="F134" s="42">
        <v>0.5</v>
      </c>
      <c r="G134" s="43">
        <f t="shared" ca="1" si="31"/>
        <v>7.8327246196087943</v>
      </c>
      <c r="H134" s="42">
        <f t="shared" ca="1" si="32"/>
        <v>8.3330815230708843E-3</v>
      </c>
      <c r="I134" s="42">
        <v>0.5</v>
      </c>
      <c r="J134" s="43">
        <f t="shared" ca="1" si="33"/>
        <v>4.0462771004009621</v>
      </c>
      <c r="K134" s="43">
        <f t="shared" ca="1" si="34"/>
        <v>-95.967735807071932</v>
      </c>
      <c r="L134" s="42">
        <f t="shared" si="26"/>
        <v>8.2083101044180729E-7</v>
      </c>
      <c r="M134" s="42">
        <f ca="1">K134-D134</f>
        <v>2.8676244610466028E-2</v>
      </c>
      <c r="N134" s="42">
        <f t="shared" ca="1" si="35"/>
        <v>34935.625293970334</v>
      </c>
      <c r="O134" s="42">
        <f t="shared" ca="1" si="36"/>
        <v>0</v>
      </c>
      <c r="P134" s="42">
        <f t="shared" ca="1" si="37"/>
        <v>0.69835382790793288</v>
      </c>
      <c r="Q134" s="44">
        <f ca="1">IF(M134&lt;0,G134,IF(P134&lt;O134,G134,B134))</f>
        <v>8.0064303850041529</v>
      </c>
      <c r="R134" s="44">
        <f ca="1">IF(N134&lt;0,J134,IF(P134&lt;O134,J134,C134))</f>
        <v>4.0421105596394264</v>
      </c>
      <c r="S134" s="44">
        <f t="shared" ca="1" si="38"/>
        <v>-95.996412051682398</v>
      </c>
    </row>
    <row r="135" spans="1:19" x14ac:dyDescent="0.4">
      <c r="A135" s="42">
        <v>134</v>
      </c>
      <c r="B135" s="41">
        <f t="shared" ca="1" si="27"/>
        <v>8.0064303850041529</v>
      </c>
      <c r="C135" s="41">
        <f t="shared" ca="1" si="28"/>
        <v>4.0421105596394264</v>
      </c>
      <c r="D135" s="41">
        <f t="shared" ca="1" si="29"/>
        <v>-95.996412051682398</v>
      </c>
      <c r="E135" s="42">
        <f t="shared" ca="1" si="30"/>
        <v>-0.78571760041906535</v>
      </c>
      <c r="F135" s="42">
        <v>0.5</v>
      </c>
      <c r="G135" s="43">
        <f t="shared" ca="1" si="31"/>
        <v>7.6135715847946202</v>
      </c>
      <c r="H135" s="42">
        <f t="shared" ca="1" si="32"/>
        <v>-0.63444148599693673</v>
      </c>
      <c r="I135" s="42">
        <v>0.5</v>
      </c>
      <c r="J135" s="43">
        <f t="shared" ca="1" si="33"/>
        <v>3.7248898166409581</v>
      </c>
      <c r="K135" s="43">
        <f t="shared" ca="1" si="34"/>
        <v>-95.699301853946167</v>
      </c>
      <c r="L135" s="42">
        <f t="shared" si="26"/>
        <v>7.3874790939762655E-7</v>
      </c>
      <c r="M135" s="42">
        <f ca="1">K135-D135</f>
        <v>0.29711019773623093</v>
      </c>
      <c r="N135" s="42">
        <f t="shared" ca="1" si="35"/>
        <v>402180.76282407885</v>
      </c>
      <c r="O135" s="42">
        <f t="shared" ca="1" si="36"/>
        <v>0</v>
      </c>
      <c r="P135" s="42">
        <f t="shared" ca="1" si="37"/>
        <v>0.36149724917275927</v>
      </c>
      <c r="Q135" s="44">
        <f ca="1">IF(M135&lt;0,G135,IF(P135&lt;O135,G135,B135))</f>
        <v>8.0064303850041529</v>
      </c>
      <c r="R135" s="44">
        <f ca="1">IF(N135&lt;0,J135,IF(P135&lt;O135,J135,C135))</f>
        <v>4.0421105596394264</v>
      </c>
      <c r="S135" s="44">
        <f t="shared" ca="1" si="38"/>
        <v>-95.996412051682398</v>
      </c>
    </row>
    <row r="136" spans="1:19" x14ac:dyDescent="0.4">
      <c r="A136" s="42">
        <v>135</v>
      </c>
      <c r="B136" s="41">
        <f t="shared" ca="1" si="27"/>
        <v>8.0064303850041529</v>
      </c>
      <c r="C136" s="41">
        <f t="shared" ca="1" si="28"/>
        <v>4.0421105596394264</v>
      </c>
      <c r="D136" s="41">
        <f t="shared" ca="1" si="29"/>
        <v>-95.996412051682398</v>
      </c>
      <c r="E136" s="42">
        <f t="shared" ca="1" si="30"/>
        <v>-0.22428000312660323</v>
      </c>
      <c r="F136" s="42">
        <v>0.5</v>
      </c>
      <c r="G136" s="43">
        <f t="shared" ca="1" si="31"/>
        <v>7.8942903834408513</v>
      </c>
      <c r="H136" s="42">
        <f t="shared" ca="1" si="32"/>
        <v>-0.32197047141044388</v>
      </c>
      <c r="I136" s="42">
        <v>0.5</v>
      </c>
      <c r="J136" s="43">
        <f t="shared" ca="1" si="33"/>
        <v>3.8811253239342047</v>
      </c>
      <c r="K136" s="43">
        <f t="shared" ca="1" si="34"/>
        <v>-95.960563099747418</v>
      </c>
      <c r="L136" s="42">
        <f t="shared" si="26"/>
        <v>6.6487311845786385E-7</v>
      </c>
      <c r="M136" s="42">
        <f ca="1">K136-D136</f>
        <v>3.5848951934980278E-2</v>
      </c>
      <c r="N136" s="42">
        <f t="shared" ca="1" si="35"/>
        <v>53918.486008473199</v>
      </c>
      <c r="O136" s="42">
        <f t="shared" ca="1" si="36"/>
        <v>0</v>
      </c>
      <c r="P136" s="42">
        <f t="shared" ca="1" si="37"/>
        <v>0.48915877665328533</v>
      </c>
      <c r="Q136" s="44">
        <f ca="1">IF(M136&lt;0,G136,IF(P136&lt;O136,G136,B136))</f>
        <v>8.0064303850041529</v>
      </c>
      <c r="R136" s="44">
        <f ca="1">IF(N136&lt;0,J136,IF(P136&lt;O136,J136,C136))</f>
        <v>4.0421105596394264</v>
      </c>
      <c r="S136" s="44">
        <f t="shared" ca="1" si="38"/>
        <v>-95.996412051682398</v>
      </c>
    </row>
    <row r="137" spans="1:19" x14ac:dyDescent="0.4">
      <c r="A137" s="42">
        <v>136</v>
      </c>
      <c r="B137" s="41">
        <f t="shared" ca="1" si="27"/>
        <v>8.0064303850041529</v>
      </c>
      <c r="C137" s="41">
        <f t="shared" ca="1" si="28"/>
        <v>4.0421105596394264</v>
      </c>
      <c r="D137" s="41">
        <f t="shared" ca="1" si="29"/>
        <v>-95.996412051682398</v>
      </c>
      <c r="E137" s="42">
        <f t="shared" ca="1" si="30"/>
        <v>0.17492627090893142</v>
      </c>
      <c r="F137" s="42">
        <v>0.5</v>
      </c>
      <c r="G137" s="43">
        <f t="shared" ca="1" si="31"/>
        <v>8.093893520458618</v>
      </c>
      <c r="H137" s="42">
        <f t="shared" ca="1" si="32"/>
        <v>-0.42773165493059051</v>
      </c>
      <c r="I137" s="42">
        <v>0.5</v>
      </c>
      <c r="J137" s="43">
        <f t="shared" ca="1" si="33"/>
        <v>3.8282447321741313</v>
      </c>
      <c r="K137" s="43">
        <f t="shared" ca="1" si="34"/>
        <v>-95.932184262764025</v>
      </c>
      <c r="L137" s="42">
        <f t="shared" si="26"/>
        <v>5.9838580661207748E-7</v>
      </c>
      <c r="M137" s="42">
        <f ca="1">K137-D137</f>
        <v>6.4227788918373108E-2</v>
      </c>
      <c r="N137" s="42">
        <f t="shared" ca="1" si="35"/>
        <v>107335.08082689335</v>
      </c>
      <c r="O137" s="42">
        <f t="shared" ca="1" si="36"/>
        <v>0</v>
      </c>
      <c r="P137" s="42">
        <f t="shared" ca="1" si="37"/>
        <v>0.18051443080841734</v>
      </c>
      <c r="Q137" s="44">
        <f ca="1">IF(M137&lt;0,G137,IF(P137&lt;O137,G137,B137))</f>
        <v>8.0064303850041529</v>
      </c>
      <c r="R137" s="44">
        <f ca="1">IF(N137&lt;0,J137,IF(P137&lt;O137,J137,C137))</f>
        <v>4.0421105596394264</v>
      </c>
      <c r="S137" s="44">
        <f t="shared" ca="1" si="38"/>
        <v>-95.996412051682398</v>
      </c>
    </row>
    <row r="138" spans="1:19" x14ac:dyDescent="0.4">
      <c r="A138" s="42">
        <v>137</v>
      </c>
      <c r="B138" s="41">
        <f t="shared" ca="1" si="27"/>
        <v>8.0064303850041529</v>
      </c>
      <c r="C138" s="41">
        <f t="shared" ca="1" si="28"/>
        <v>4.0421105596394264</v>
      </c>
      <c r="D138" s="41">
        <f t="shared" ca="1" si="29"/>
        <v>-95.996412051682398</v>
      </c>
      <c r="E138" s="42">
        <f t="shared" ca="1" si="30"/>
        <v>-0.74902128413948588</v>
      </c>
      <c r="F138" s="42">
        <v>0.5</v>
      </c>
      <c r="G138" s="43">
        <f t="shared" ca="1" si="31"/>
        <v>7.6319197429344099</v>
      </c>
      <c r="H138" s="42">
        <f t="shared" ca="1" si="32"/>
        <v>0.99804026326055273</v>
      </c>
      <c r="I138" s="42">
        <v>0.5</v>
      </c>
      <c r="J138" s="43">
        <f t="shared" ca="1" si="33"/>
        <v>4.5411306912697027</v>
      </c>
      <c r="K138" s="43">
        <f t="shared" ca="1" si="34"/>
        <v>-95.278872074290476</v>
      </c>
      <c r="L138" s="42">
        <f t="shared" si="26"/>
        <v>5.3854722595086977E-7</v>
      </c>
      <c r="M138" s="42">
        <f ca="1">K138-D138</f>
        <v>0.71753997739192243</v>
      </c>
      <c r="N138" s="42">
        <f t="shared" ca="1" si="35"/>
        <v>1332362.2197199503</v>
      </c>
      <c r="O138" s="42">
        <f t="shared" ca="1" si="36"/>
        <v>0</v>
      </c>
      <c r="P138" s="42">
        <f t="shared" ca="1" si="37"/>
        <v>0.44763249248812287</v>
      </c>
      <c r="Q138" s="44">
        <f ca="1">IF(M138&lt;0,G138,IF(P138&lt;O138,G138,B138))</f>
        <v>8.0064303850041529</v>
      </c>
      <c r="R138" s="44">
        <f ca="1">IF(N138&lt;0,J138,IF(P138&lt;O138,J138,C138))</f>
        <v>4.0421105596394264</v>
      </c>
      <c r="S138" s="44">
        <f t="shared" ca="1" si="38"/>
        <v>-95.996412051682398</v>
      </c>
    </row>
    <row r="139" spans="1:19" x14ac:dyDescent="0.4">
      <c r="A139" s="42">
        <v>138</v>
      </c>
      <c r="B139" s="41">
        <f t="shared" ca="1" si="27"/>
        <v>8.0064303850041529</v>
      </c>
      <c r="C139" s="41">
        <f t="shared" ca="1" si="28"/>
        <v>4.0421105596394264</v>
      </c>
      <c r="D139" s="41">
        <f t="shared" ca="1" si="29"/>
        <v>-95.996412051682398</v>
      </c>
      <c r="E139" s="42">
        <f t="shared" ca="1" si="30"/>
        <v>-0.16608642425007858</v>
      </c>
      <c r="F139" s="42">
        <v>0.5</v>
      </c>
      <c r="G139" s="43">
        <f t="shared" ca="1" si="31"/>
        <v>7.9233871728791136</v>
      </c>
      <c r="H139" s="42">
        <f t="shared" ca="1" si="32"/>
        <v>0.38821765373465911</v>
      </c>
      <c r="I139" s="42">
        <v>0.5</v>
      </c>
      <c r="J139" s="43">
        <f t="shared" ca="1" si="33"/>
        <v>4.2362193865067557</v>
      </c>
      <c r="K139" s="43">
        <f t="shared" ca="1" si="34"/>
        <v>-95.88253127759728</v>
      </c>
      <c r="L139" s="42">
        <f t="shared" si="26"/>
        <v>4.8469250335578286E-7</v>
      </c>
      <c r="M139" s="42">
        <f ca="1">K139-D139</f>
        <v>0.11388077408511776</v>
      </c>
      <c r="N139" s="42">
        <f t="shared" ca="1" si="35"/>
        <v>234954.68425168714</v>
      </c>
      <c r="O139" s="42">
        <f t="shared" ca="1" si="36"/>
        <v>0</v>
      </c>
      <c r="P139" s="42">
        <f t="shared" ca="1" si="37"/>
        <v>0.56327908863929954</v>
      </c>
      <c r="Q139" s="44">
        <f ca="1">IF(M139&lt;0,G139,IF(P139&lt;O139,G139,B139))</f>
        <v>8.0064303850041529</v>
      </c>
      <c r="R139" s="44">
        <f ca="1">IF(N139&lt;0,J139,IF(P139&lt;O139,J139,C139))</f>
        <v>4.0421105596394264</v>
      </c>
      <c r="S139" s="44">
        <f t="shared" ca="1" si="38"/>
        <v>-95.996412051682398</v>
      </c>
    </row>
    <row r="140" spans="1:19" x14ac:dyDescent="0.4">
      <c r="A140" s="42">
        <v>139</v>
      </c>
      <c r="B140" s="41">
        <f t="shared" ca="1" si="27"/>
        <v>8.0064303850041529</v>
      </c>
      <c r="C140" s="41">
        <f t="shared" ca="1" si="28"/>
        <v>4.0421105596394264</v>
      </c>
      <c r="D140" s="41">
        <f t="shared" ca="1" si="29"/>
        <v>-95.996412051682398</v>
      </c>
      <c r="E140" s="42">
        <f t="shared" ca="1" si="30"/>
        <v>0.22249980835047722</v>
      </c>
      <c r="F140" s="42">
        <v>0.5</v>
      </c>
      <c r="G140" s="43">
        <f t="shared" ca="1" si="31"/>
        <v>8.1176802891793916</v>
      </c>
      <c r="H140" s="42">
        <f t="shared" ca="1" si="32"/>
        <v>0.80823896624895331</v>
      </c>
      <c r="I140" s="42">
        <v>0.5</v>
      </c>
      <c r="J140" s="43">
        <f t="shared" ca="1" si="33"/>
        <v>4.4462300427639034</v>
      </c>
      <c r="K140" s="43">
        <f t="shared" ca="1" si="34"/>
        <v>-95.587908847408499</v>
      </c>
      <c r="L140" s="42">
        <f t="shared" si="26"/>
        <v>4.3622325302020461E-7</v>
      </c>
      <c r="M140" s="42">
        <f ca="1">K140-D140</f>
        <v>0.40850320427389875</v>
      </c>
      <c r="N140" s="42">
        <f t="shared" ca="1" si="35"/>
        <v>936454.44493298954</v>
      </c>
      <c r="O140" s="42">
        <f t="shared" ca="1" si="36"/>
        <v>0</v>
      </c>
      <c r="P140" s="42">
        <f t="shared" ca="1" si="37"/>
        <v>0.59341595107742195</v>
      </c>
      <c r="Q140" s="44">
        <f ca="1">IF(M140&lt;0,G140,IF(P140&lt;O140,G140,B140))</f>
        <v>8.0064303850041529</v>
      </c>
      <c r="R140" s="44">
        <f ca="1">IF(N140&lt;0,J140,IF(P140&lt;O140,J140,C140))</f>
        <v>4.0421105596394264</v>
      </c>
      <c r="S140" s="44">
        <f t="shared" ca="1" si="38"/>
        <v>-95.996412051682398</v>
      </c>
    </row>
    <row r="141" spans="1:19" x14ac:dyDescent="0.4">
      <c r="A141" s="42">
        <v>140</v>
      </c>
      <c r="B141" s="41">
        <f t="shared" ca="1" si="27"/>
        <v>8.0064303850041529</v>
      </c>
      <c r="C141" s="41">
        <f t="shared" ca="1" si="28"/>
        <v>4.0421105596394264</v>
      </c>
      <c r="D141" s="41">
        <f t="shared" ca="1" si="29"/>
        <v>-95.996412051682398</v>
      </c>
      <c r="E141" s="42">
        <f t="shared" ca="1" si="30"/>
        <v>-0.59330161806012804</v>
      </c>
      <c r="F141" s="42">
        <v>0.5</v>
      </c>
      <c r="G141" s="43">
        <f t="shared" ca="1" si="31"/>
        <v>7.709779575974089</v>
      </c>
      <c r="H141" s="42">
        <f t="shared" ca="1" si="32"/>
        <v>-0.94266058399427965</v>
      </c>
      <c r="I141" s="42">
        <v>0.5</v>
      </c>
      <c r="J141" s="43">
        <f t="shared" ca="1" si="33"/>
        <v>3.5707802676422866</v>
      </c>
      <c r="K141" s="43">
        <f t="shared" ca="1" si="34"/>
        <v>-95.547312948187766</v>
      </c>
      <c r="L141" s="42">
        <f t="shared" si="26"/>
        <v>3.9260092771818413E-7</v>
      </c>
      <c r="M141" s="42">
        <f ca="1">K141-D141</f>
        <v>0.44909910349463189</v>
      </c>
      <c r="N141" s="42">
        <f t="shared" ca="1" si="35"/>
        <v>1143907.3924374504</v>
      </c>
      <c r="O141" s="42">
        <f t="shared" ca="1" si="36"/>
        <v>0</v>
      </c>
      <c r="P141" s="42">
        <f t="shared" ca="1" si="37"/>
        <v>0.31057188858724338</v>
      </c>
      <c r="Q141" s="44">
        <f ca="1">IF(M141&lt;0,G141,IF(P141&lt;O141,G141,B141))</f>
        <v>8.0064303850041529</v>
      </c>
      <c r="R141" s="44">
        <f ca="1">IF(N141&lt;0,J141,IF(P141&lt;O141,J141,C141))</f>
        <v>4.0421105596394264</v>
      </c>
      <c r="S141" s="44">
        <f t="shared" ca="1" si="38"/>
        <v>-95.996412051682398</v>
      </c>
    </row>
    <row r="142" spans="1:19" x14ac:dyDescent="0.4">
      <c r="A142" s="42">
        <v>141</v>
      </c>
      <c r="B142" s="41">
        <f t="shared" ca="1" si="27"/>
        <v>8.0064303850041529</v>
      </c>
      <c r="C142" s="41">
        <f t="shared" ca="1" si="28"/>
        <v>4.0421105596394264</v>
      </c>
      <c r="D142" s="41">
        <f t="shared" ca="1" si="29"/>
        <v>-95.996412051682398</v>
      </c>
      <c r="E142" s="42">
        <f t="shared" ca="1" si="30"/>
        <v>0.3294937585422415</v>
      </c>
      <c r="F142" s="42">
        <v>0.5</v>
      </c>
      <c r="G142" s="43">
        <f t="shared" ca="1" si="31"/>
        <v>8.1711772642752738</v>
      </c>
      <c r="H142" s="42">
        <f t="shared" ca="1" si="32"/>
        <v>-0.17266759376620833</v>
      </c>
      <c r="I142" s="42">
        <v>0.5</v>
      </c>
      <c r="J142" s="43">
        <f t="shared" ca="1" si="33"/>
        <v>3.9557767627563223</v>
      </c>
      <c r="K142" s="43">
        <f t="shared" ca="1" si="34"/>
        <v>-95.966786954770612</v>
      </c>
      <c r="L142" s="42">
        <f t="shared" si="26"/>
        <v>3.5334083494636579E-7</v>
      </c>
      <c r="M142" s="42">
        <f ca="1">K142-D142</f>
        <v>2.9625096911786386E-2</v>
      </c>
      <c r="N142" s="42">
        <f t="shared" ca="1" si="35"/>
        <v>83842.833835730387</v>
      </c>
      <c r="O142" s="42">
        <f t="shared" ca="1" si="36"/>
        <v>0</v>
      </c>
      <c r="P142" s="42">
        <f t="shared" ca="1" si="37"/>
        <v>0.4591151096661753</v>
      </c>
      <c r="Q142" s="44">
        <f ca="1">IF(M142&lt;0,G142,IF(P142&lt;O142,G142,B142))</f>
        <v>8.0064303850041529</v>
      </c>
      <c r="R142" s="44">
        <f ca="1">IF(N142&lt;0,J142,IF(P142&lt;O142,J142,C142))</f>
        <v>4.0421105596394264</v>
      </c>
      <c r="S142" s="44">
        <f t="shared" ca="1" si="38"/>
        <v>-95.996412051682398</v>
      </c>
    </row>
    <row r="143" spans="1:19" x14ac:dyDescent="0.4">
      <c r="A143" s="42">
        <v>142</v>
      </c>
      <c r="B143" s="41">
        <f t="shared" ca="1" si="27"/>
        <v>8.0064303850041529</v>
      </c>
      <c r="C143" s="41">
        <f t="shared" ca="1" si="28"/>
        <v>4.0421105596394264</v>
      </c>
      <c r="D143" s="41">
        <f t="shared" ca="1" si="29"/>
        <v>-95.996412051682398</v>
      </c>
      <c r="E143" s="42">
        <f t="shared" ca="1" si="30"/>
        <v>-0.9670041814492949</v>
      </c>
      <c r="F143" s="42">
        <v>0.5</v>
      </c>
      <c r="G143" s="43">
        <f t="shared" ca="1" si="31"/>
        <v>7.5229282942795059</v>
      </c>
      <c r="H143" s="42">
        <f t="shared" ca="1" si="32"/>
        <v>-0.54063411729688027</v>
      </c>
      <c r="I143" s="42">
        <v>0.5</v>
      </c>
      <c r="J143" s="43">
        <f t="shared" ca="1" si="33"/>
        <v>3.7717935009909862</v>
      </c>
      <c r="K143" s="43">
        <f t="shared" ca="1" si="34"/>
        <v>-95.668246175221043</v>
      </c>
      <c r="L143" s="42">
        <f t="shared" si="26"/>
        <v>3.1800675145172918E-7</v>
      </c>
      <c r="M143" s="42">
        <f ca="1">K143-D143</f>
        <v>0.32816587646135531</v>
      </c>
      <c r="N143" s="42">
        <f t="shared" ca="1" si="35"/>
        <v>1031946.2557422093</v>
      </c>
      <c r="O143" s="42">
        <f t="shared" ca="1" si="36"/>
        <v>0</v>
      </c>
      <c r="P143" s="42">
        <f t="shared" ca="1" si="37"/>
        <v>0.19136298984599576</v>
      </c>
      <c r="Q143" s="44">
        <f ca="1">IF(M143&lt;0,G143,IF(P143&lt;O143,G143,B143))</f>
        <v>8.0064303850041529</v>
      </c>
      <c r="R143" s="44">
        <f ca="1">IF(N143&lt;0,J143,IF(P143&lt;O143,J143,C143))</f>
        <v>4.0421105596394264</v>
      </c>
      <c r="S143" s="44">
        <f t="shared" ca="1" si="38"/>
        <v>-95.996412051682398</v>
      </c>
    </row>
    <row r="144" spans="1:19" x14ac:dyDescent="0.4">
      <c r="A144" s="42">
        <v>143</v>
      </c>
      <c r="B144" s="41">
        <f t="shared" ca="1" si="27"/>
        <v>8.0064303850041529</v>
      </c>
      <c r="C144" s="41">
        <f t="shared" ca="1" si="28"/>
        <v>4.0421105596394264</v>
      </c>
      <c r="D144" s="41">
        <f t="shared" ca="1" si="29"/>
        <v>-95.996412051682398</v>
      </c>
      <c r="E144" s="42">
        <f t="shared" ca="1" si="30"/>
        <v>-0.84036453796142352</v>
      </c>
      <c r="F144" s="42">
        <v>0.5</v>
      </c>
      <c r="G144" s="43">
        <f t="shared" ca="1" si="31"/>
        <v>7.586248116023441</v>
      </c>
      <c r="H144" s="42">
        <f t="shared" ca="1" si="32"/>
        <v>0.80583137663617332</v>
      </c>
      <c r="I144" s="42">
        <v>0.5</v>
      </c>
      <c r="J144" s="43">
        <f t="shared" ca="1" si="33"/>
        <v>4.4450262479575127</v>
      </c>
      <c r="K144" s="43">
        <f t="shared" ca="1" si="34"/>
        <v>-95.432712655763567</v>
      </c>
      <c r="L144" s="42">
        <f t="shared" si="26"/>
        <v>2.8620607630655623E-7</v>
      </c>
      <c r="M144" s="42">
        <f ca="1">K144-D144</f>
        <v>0.56369939591883167</v>
      </c>
      <c r="N144" s="42">
        <f t="shared" ca="1" si="35"/>
        <v>1969557.7508111724</v>
      </c>
      <c r="O144" s="42">
        <f t="shared" ca="1" si="36"/>
        <v>0</v>
      </c>
      <c r="P144" s="42">
        <f t="shared" ca="1" si="37"/>
        <v>0.9420755350339195</v>
      </c>
      <c r="Q144" s="44">
        <f ca="1">IF(M144&lt;0,G144,IF(P144&lt;O144,G144,B144))</f>
        <v>8.0064303850041529</v>
      </c>
      <c r="R144" s="44">
        <f ca="1">IF(N144&lt;0,J144,IF(P144&lt;O144,J144,C144))</f>
        <v>4.0421105596394264</v>
      </c>
      <c r="S144" s="44">
        <f t="shared" ca="1" si="38"/>
        <v>-95.996412051682398</v>
      </c>
    </row>
    <row r="145" spans="1:19" x14ac:dyDescent="0.4">
      <c r="A145" s="42">
        <v>144</v>
      </c>
      <c r="B145" s="41">
        <f t="shared" ca="1" si="27"/>
        <v>8.0064303850041529</v>
      </c>
      <c r="C145" s="41">
        <f t="shared" ca="1" si="28"/>
        <v>4.0421105596394264</v>
      </c>
      <c r="D145" s="41">
        <f t="shared" ca="1" si="29"/>
        <v>-95.996412051682398</v>
      </c>
      <c r="E145" s="42">
        <f t="shared" ca="1" si="30"/>
        <v>-0.21264970933741201</v>
      </c>
      <c r="F145" s="42">
        <v>0.5</v>
      </c>
      <c r="G145" s="43">
        <f t="shared" ca="1" si="31"/>
        <v>7.9001055303354466</v>
      </c>
      <c r="H145" s="42">
        <f t="shared" ca="1" si="32"/>
        <v>-4.0235412158993622E-2</v>
      </c>
      <c r="I145" s="42">
        <v>0.5</v>
      </c>
      <c r="J145" s="43">
        <f t="shared" ca="1" si="33"/>
        <v>4.0219928535599294</v>
      </c>
      <c r="K145" s="43">
        <f t="shared" ca="1" si="34"/>
        <v>-95.989053723715017</v>
      </c>
      <c r="L145" s="42">
        <f t="shared" si="26"/>
        <v>2.5758546867590068E-7</v>
      </c>
      <c r="M145" s="42">
        <f ca="1">K145-D145</f>
        <v>7.3583279673812285E-3</v>
      </c>
      <c r="N145" s="42">
        <f t="shared" ca="1" si="35"/>
        <v>28566.549212601847</v>
      </c>
      <c r="O145" s="42">
        <f t="shared" ca="1" si="36"/>
        <v>0</v>
      </c>
      <c r="P145" s="42">
        <f t="shared" ca="1" si="37"/>
        <v>0.58814027880637987</v>
      </c>
      <c r="Q145" s="44">
        <f ca="1">IF(M145&lt;0,G145,IF(P145&lt;O145,G145,B145))</f>
        <v>8.0064303850041529</v>
      </c>
      <c r="R145" s="44">
        <f ca="1">IF(N145&lt;0,J145,IF(P145&lt;O145,J145,C145))</f>
        <v>4.0421105596394264</v>
      </c>
      <c r="S145" s="44">
        <f t="shared" ca="1" si="38"/>
        <v>-95.996412051682398</v>
      </c>
    </row>
    <row r="146" spans="1:19" x14ac:dyDescent="0.4">
      <c r="A146" s="42">
        <v>145</v>
      </c>
      <c r="B146" s="41">
        <f t="shared" ca="1" si="27"/>
        <v>8.0064303850041529</v>
      </c>
      <c r="C146" s="41">
        <f t="shared" ca="1" si="28"/>
        <v>4.0421105596394264</v>
      </c>
      <c r="D146" s="41">
        <f t="shared" ca="1" si="29"/>
        <v>-95.996412051682398</v>
      </c>
      <c r="E146" s="42">
        <f t="shared" ca="1" si="30"/>
        <v>-0.71866985064326139</v>
      </c>
      <c r="F146" s="42">
        <v>0.5</v>
      </c>
      <c r="G146" s="43">
        <f t="shared" ca="1" si="31"/>
        <v>7.6470954596825225</v>
      </c>
      <c r="H146" s="42">
        <f t="shared" ca="1" si="32"/>
        <v>0.59404132312235247</v>
      </c>
      <c r="I146" s="42">
        <v>0.5</v>
      </c>
      <c r="J146" s="43">
        <f t="shared" ca="1" si="33"/>
        <v>4.3391312212006028</v>
      </c>
      <c r="K146" s="43">
        <f t="shared" ca="1" si="34"/>
        <v>-95.64543841503729</v>
      </c>
      <c r="L146" s="42">
        <f t="shared" si="26"/>
        <v>2.318269218083106E-7</v>
      </c>
      <c r="M146" s="42">
        <f ca="1">K146-D146</f>
        <v>0.35097363664510794</v>
      </c>
      <c r="N146" s="42">
        <f t="shared" ca="1" si="35"/>
        <v>1513946.8440827399</v>
      </c>
      <c r="O146" s="42">
        <f t="shared" ca="1" si="36"/>
        <v>0</v>
      </c>
      <c r="P146" s="42">
        <f t="shared" ca="1" si="37"/>
        <v>0.71535973369980566</v>
      </c>
      <c r="Q146" s="44">
        <f ca="1">IF(M146&lt;0,G146,IF(P146&lt;O146,G146,B146))</f>
        <v>8.0064303850041529</v>
      </c>
      <c r="R146" s="44">
        <f ca="1">IF(N146&lt;0,J146,IF(P146&lt;O146,J146,C146))</f>
        <v>4.0421105596394264</v>
      </c>
      <c r="S146" s="44">
        <f t="shared" ca="1" si="38"/>
        <v>-95.996412051682398</v>
      </c>
    </row>
    <row r="147" spans="1:19" x14ac:dyDescent="0.4">
      <c r="A147" s="42">
        <v>146</v>
      </c>
      <c r="B147" s="41">
        <f t="shared" ca="1" si="27"/>
        <v>8.0064303850041529</v>
      </c>
      <c r="C147" s="41">
        <f t="shared" ca="1" si="28"/>
        <v>4.0421105596394264</v>
      </c>
      <c r="D147" s="41">
        <f t="shared" ca="1" si="29"/>
        <v>-95.996412051682398</v>
      </c>
      <c r="E147" s="42">
        <f t="shared" ca="1" si="30"/>
        <v>0.71391162052993806</v>
      </c>
      <c r="F147" s="42">
        <v>0.5</v>
      </c>
      <c r="G147" s="43">
        <f t="shared" ca="1" si="31"/>
        <v>8.363386195269122</v>
      </c>
      <c r="H147" s="42">
        <f t="shared" ca="1" si="32"/>
        <v>0.31543418615306096</v>
      </c>
      <c r="I147" s="42">
        <v>0.5</v>
      </c>
      <c r="J147" s="43">
        <f t="shared" ca="1" si="33"/>
        <v>4.1998276527159568</v>
      </c>
      <c r="K147" s="43">
        <f t="shared" ca="1" si="34"/>
        <v>-95.78808829150789</v>
      </c>
      <c r="L147" s="42">
        <f t="shared" si="26"/>
        <v>2.0864422962747953E-7</v>
      </c>
      <c r="M147" s="42">
        <f ca="1">K147-D147</f>
        <v>0.20832376017450827</v>
      </c>
      <c r="N147" s="42">
        <f t="shared" ca="1" si="35"/>
        <v>998464.03874411748</v>
      </c>
      <c r="O147" s="42">
        <f t="shared" ca="1" si="36"/>
        <v>0</v>
      </c>
      <c r="P147" s="42">
        <f t="shared" ca="1" si="37"/>
        <v>0.40034435099153465</v>
      </c>
      <c r="Q147" s="44">
        <f ca="1">IF(M147&lt;0,G147,IF(P147&lt;O147,G147,B147))</f>
        <v>8.0064303850041529</v>
      </c>
      <c r="R147" s="44">
        <f ca="1">IF(N147&lt;0,J147,IF(P147&lt;O147,J147,C147))</f>
        <v>4.0421105596394264</v>
      </c>
      <c r="S147" s="44">
        <f t="shared" ca="1" si="38"/>
        <v>-95.996412051682398</v>
      </c>
    </row>
    <row r="148" spans="1:19" x14ac:dyDescent="0.4">
      <c r="A148" s="42">
        <v>147</v>
      </c>
      <c r="B148" s="41">
        <f t="shared" ca="1" si="27"/>
        <v>8.0064303850041529</v>
      </c>
      <c r="C148" s="41">
        <f t="shared" ca="1" si="28"/>
        <v>4.0421105596394264</v>
      </c>
      <c r="D148" s="41">
        <f t="shared" ca="1" si="29"/>
        <v>-95.996412051682398</v>
      </c>
      <c r="E148" s="42">
        <f t="shared" ca="1" si="30"/>
        <v>-0.9701862848493088</v>
      </c>
      <c r="F148" s="42">
        <v>0.5</v>
      </c>
      <c r="G148" s="43">
        <f t="shared" ca="1" si="31"/>
        <v>7.5213372425794986</v>
      </c>
      <c r="H148" s="42">
        <f t="shared" ca="1" si="32"/>
        <v>0.16130969285432317</v>
      </c>
      <c r="I148" s="42">
        <v>0.5</v>
      </c>
      <c r="J148" s="43">
        <f t="shared" ca="1" si="33"/>
        <v>4.1227654060665877</v>
      </c>
      <c r="K148" s="43">
        <f t="shared" ca="1" si="34"/>
        <v>-95.740739274805208</v>
      </c>
      <c r="L148" s="42">
        <f t="shared" si="26"/>
        <v>1.8777980666473162E-7</v>
      </c>
      <c r="M148" s="42">
        <f ca="1">K148-D148</f>
        <v>0.2556727768771907</v>
      </c>
      <c r="N148" s="42">
        <f t="shared" ca="1" si="35"/>
        <v>1361556.289881997</v>
      </c>
      <c r="O148" s="42">
        <f t="shared" ca="1" si="36"/>
        <v>0</v>
      </c>
      <c r="P148" s="42">
        <f t="shared" ca="1" si="37"/>
        <v>0.42793923788255672</v>
      </c>
      <c r="Q148" s="44">
        <f ca="1">IF(M148&lt;0,G148,IF(P148&lt;O148,G148,B148))</f>
        <v>8.0064303850041529</v>
      </c>
      <c r="R148" s="44">
        <f ca="1">IF(N148&lt;0,J148,IF(P148&lt;O148,J148,C148))</f>
        <v>4.0421105596394264</v>
      </c>
      <c r="S148" s="44">
        <f t="shared" ca="1" si="38"/>
        <v>-95.996412051682398</v>
      </c>
    </row>
    <row r="149" spans="1:19" x14ac:dyDescent="0.4">
      <c r="A149" s="42">
        <v>148</v>
      </c>
      <c r="B149" s="41">
        <f t="shared" ca="1" si="27"/>
        <v>8.0064303850041529</v>
      </c>
      <c r="C149" s="41">
        <f t="shared" ca="1" si="28"/>
        <v>4.0421105596394264</v>
      </c>
      <c r="D149" s="41">
        <f t="shared" ca="1" si="29"/>
        <v>-95.996412051682398</v>
      </c>
      <c r="E149" s="42">
        <f t="shared" ca="1" si="30"/>
        <v>-0.79155669431516529</v>
      </c>
      <c r="F149" s="42">
        <v>0.5</v>
      </c>
      <c r="G149" s="43">
        <f t="shared" ca="1" si="31"/>
        <v>7.6106520378465703</v>
      </c>
      <c r="H149" s="42">
        <f t="shared" ca="1" si="32"/>
        <v>0.53233106106818884</v>
      </c>
      <c r="I149" s="42">
        <v>0.5</v>
      </c>
      <c r="J149" s="43">
        <f t="shared" ca="1" si="33"/>
        <v>4.3082760901735213</v>
      </c>
      <c r="K149" s="43">
        <f t="shared" ca="1" si="34"/>
        <v>-95.658339868821628</v>
      </c>
      <c r="L149" s="42">
        <f t="shared" si="26"/>
        <v>1.6900182599825847E-7</v>
      </c>
      <c r="M149" s="42">
        <f ca="1">K149-D149</f>
        <v>0.33807218286077045</v>
      </c>
      <c r="N149" s="42">
        <f t="shared" ca="1" si="35"/>
        <v>2000405.5036911508</v>
      </c>
      <c r="O149" s="42">
        <f t="shared" ca="1" si="36"/>
        <v>0</v>
      </c>
      <c r="P149" s="42">
        <f t="shared" ca="1" si="37"/>
        <v>1.2439315156913988E-2</v>
      </c>
      <c r="Q149" s="44">
        <f ca="1">IF(M149&lt;0,G149,IF(P149&lt;O149,G149,B149))</f>
        <v>8.0064303850041529</v>
      </c>
      <c r="R149" s="44">
        <f ca="1">IF(N149&lt;0,J149,IF(P149&lt;O149,J149,C149))</f>
        <v>4.0421105596394264</v>
      </c>
      <c r="S149" s="44">
        <f t="shared" ca="1" si="38"/>
        <v>-95.996412051682398</v>
      </c>
    </row>
    <row r="150" spans="1:19" x14ac:dyDescent="0.4">
      <c r="A150" s="42">
        <v>149</v>
      </c>
      <c r="B150" s="41">
        <f t="shared" ca="1" si="27"/>
        <v>8.0064303850041529</v>
      </c>
      <c r="C150" s="41">
        <f t="shared" ca="1" si="28"/>
        <v>4.0421105596394264</v>
      </c>
      <c r="D150" s="41">
        <f t="shared" ca="1" si="29"/>
        <v>-95.996412051682398</v>
      </c>
      <c r="E150" s="42">
        <f t="shared" ca="1" si="30"/>
        <v>-0.75651676086260111</v>
      </c>
      <c r="F150" s="42">
        <v>0.5</v>
      </c>
      <c r="G150" s="43">
        <f t="shared" ca="1" si="31"/>
        <v>7.6281720045728525</v>
      </c>
      <c r="H150" s="42">
        <f t="shared" ca="1" si="32"/>
        <v>-0.17791747461997232</v>
      </c>
      <c r="I150" s="42">
        <v>0.5</v>
      </c>
      <c r="J150" s="43">
        <f t="shared" ca="1" si="33"/>
        <v>3.9531518223294402</v>
      </c>
      <c r="K150" s="43">
        <f t="shared" ca="1" si="34"/>
        <v>-95.85735443831453</v>
      </c>
      <c r="L150" s="42">
        <f t="shared" si="26"/>
        <v>1.5210164339843262E-7</v>
      </c>
      <c r="M150" s="42">
        <f ca="1">K150-D150</f>
        <v>0.13905761336786782</v>
      </c>
      <c r="N150" s="42">
        <f t="shared" ca="1" si="35"/>
        <v>914241.36032248009</v>
      </c>
      <c r="O150" s="42">
        <f t="shared" ca="1" si="36"/>
        <v>0</v>
      </c>
      <c r="P150" s="42">
        <f t="shared" ca="1" si="37"/>
        <v>0.65376873807871261</v>
      </c>
      <c r="Q150" s="44">
        <f ca="1">IF(M150&lt;0,G150,IF(P150&lt;O150,G150,B150))</f>
        <v>8.0064303850041529</v>
      </c>
      <c r="R150" s="44">
        <f ca="1">IF(N150&lt;0,J150,IF(P150&lt;O150,J150,C150))</f>
        <v>4.0421105596394264</v>
      </c>
      <c r="S150" s="44">
        <f t="shared" ca="1" si="38"/>
        <v>-95.996412051682398</v>
      </c>
    </row>
    <row r="151" spans="1:19" x14ac:dyDescent="0.4">
      <c r="A151" s="42">
        <v>150</v>
      </c>
      <c r="B151" s="41">
        <f t="shared" ca="1" si="27"/>
        <v>8.0064303850041529</v>
      </c>
      <c r="C151" s="41">
        <f t="shared" ca="1" si="28"/>
        <v>4.0421105596394264</v>
      </c>
      <c r="D151" s="41">
        <f t="shared" ca="1" si="29"/>
        <v>-95.996412051682398</v>
      </c>
      <c r="E151" s="42">
        <f t="shared" ca="1" si="30"/>
        <v>-0.52290186722651977</v>
      </c>
      <c r="F151" s="42">
        <v>0.5</v>
      </c>
      <c r="G151" s="43">
        <f t="shared" ca="1" si="31"/>
        <v>7.7449794513908934</v>
      </c>
      <c r="H151" s="42">
        <f t="shared" ca="1" si="32"/>
        <v>-0.49416616160563542</v>
      </c>
      <c r="I151" s="42">
        <v>0.5</v>
      </c>
      <c r="J151" s="43">
        <f t="shared" ca="1" si="33"/>
        <v>3.7950274788366087</v>
      </c>
      <c r="K151" s="43">
        <f t="shared" ca="1" si="34"/>
        <v>-95.850937050922951</v>
      </c>
      <c r="L151" s="42">
        <f t="shared" si="26"/>
        <v>1.3689147905858937E-7</v>
      </c>
      <c r="M151" s="42">
        <f ca="1">K151-D151</f>
        <v>0.14547500075944697</v>
      </c>
      <c r="N151" s="42">
        <f t="shared" ca="1" si="35"/>
        <v>1062703.1116902744</v>
      </c>
      <c r="O151" s="42">
        <f t="shared" ca="1" si="36"/>
        <v>0</v>
      </c>
      <c r="P151" s="42">
        <f t="shared" ca="1" si="37"/>
        <v>0.61156268349537746</v>
      </c>
      <c r="Q151" s="44">
        <f ca="1">IF(M151&lt;0,G151,IF(P151&lt;O151,G151,B151))</f>
        <v>8.0064303850041529</v>
      </c>
      <c r="R151" s="44">
        <f ca="1">IF(N151&lt;0,J151,IF(P151&lt;O151,J151,C151))</f>
        <v>4.0421105596394264</v>
      </c>
      <c r="S151" s="44">
        <f t="shared" ca="1" si="38"/>
        <v>-95.996412051682398</v>
      </c>
    </row>
    <row r="152" spans="1:19" x14ac:dyDescent="0.4">
      <c r="A152" s="42">
        <v>151</v>
      </c>
      <c r="B152" s="41">
        <f t="shared" ca="1" si="27"/>
        <v>8.0064303850041529</v>
      </c>
      <c r="C152" s="41">
        <f t="shared" ca="1" si="28"/>
        <v>4.0421105596394264</v>
      </c>
      <c r="D152" s="41">
        <f t="shared" ca="1" si="29"/>
        <v>-95.996412051682398</v>
      </c>
      <c r="E152" s="42">
        <f t="shared" ca="1" si="30"/>
        <v>0.77844232437272387</v>
      </c>
      <c r="F152" s="42">
        <v>0.5</v>
      </c>
      <c r="G152" s="43">
        <f t="shared" ca="1" si="31"/>
        <v>8.3956515471905142</v>
      </c>
      <c r="H152" s="42">
        <f t="shared" ca="1" si="32"/>
        <v>-0.76433750690968094</v>
      </c>
      <c r="I152" s="42">
        <v>0.5</v>
      </c>
      <c r="J152" s="43">
        <f t="shared" ca="1" si="33"/>
        <v>3.6599418061845861</v>
      </c>
      <c r="K152" s="43">
        <f t="shared" ca="1" si="34"/>
        <v>-95.612180702843744</v>
      </c>
      <c r="L152" s="42">
        <f t="shared" si="26"/>
        <v>1.2320233115273045E-7</v>
      </c>
      <c r="M152" s="42">
        <f ca="1">K152-D152</f>
        <v>0.38423134883865373</v>
      </c>
      <c r="N152" s="42">
        <f t="shared" ca="1" si="35"/>
        <v>3118701.9372412115</v>
      </c>
      <c r="O152" s="42">
        <f t="shared" ca="1" si="36"/>
        <v>0</v>
      </c>
      <c r="P152" s="42">
        <f t="shared" ca="1" si="37"/>
        <v>0.91111729376197048</v>
      </c>
      <c r="Q152" s="44">
        <f ca="1">IF(M152&lt;0,G152,IF(P152&lt;O152,G152,B152))</f>
        <v>8.0064303850041529</v>
      </c>
      <c r="R152" s="44">
        <f ca="1">IF(N152&lt;0,J152,IF(P152&lt;O152,J152,C152))</f>
        <v>4.0421105596394264</v>
      </c>
      <c r="S152" s="44">
        <f t="shared" ca="1" si="38"/>
        <v>-95.996412051682398</v>
      </c>
    </row>
    <row r="153" spans="1:19" x14ac:dyDescent="0.4">
      <c r="A153" s="42">
        <v>152</v>
      </c>
      <c r="B153" s="41">
        <f t="shared" ca="1" si="27"/>
        <v>8.0064303850041529</v>
      </c>
      <c r="C153" s="41">
        <f t="shared" ca="1" si="28"/>
        <v>4.0421105596394264</v>
      </c>
      <c r="D153" s="41">
        <f t="shared" ca="1" si="29"/>
        <v>-95.996412051682398</v>
      </c>
      <c r="E153" s="42">
        <f t="shared" ca="1" si="30"/>
        <v>0.77130861843677678</v>
      </c>
      <c r="F153" s="42">
        <v>0.5</v>
      </c>
      <c r="G153" s="43">
        <f t="shared" ca="1" si="31"/>
        <v>8.3920846942225413</v>
      </c>
      <c r="H153" s="42">
        <f t="shared" ca="1" si="32"/>
        <v>0.43646411794260964</v>
      </c>
      <c r="I153" s="42">
        <v>0.5</v>
      </c>
      <c r="J153" s="43">
        <f t="shared" ca="1" si="33"/>
        <v>4.2603426186107312</v>
      </c>
      <c r="K153" s="43">
        <f t="shared" ca="1" si="34"/>
        <v>-95.71071303442622</v>
      </c>
      <c r="L153" s="42">
        <f t="shared" si="26"/>
        <v>1.108820980374574E-7</v>
      </c>
      <c r="M153" s="42">
        <f ca="1">K153-D153</f>
        <v>0.28569901725617797</v>
      </c>
      <c r="N153" s="42">
        <f t="shared" ca="1" si="35"/>
        <v>2576601.8348576445</v>
      </c>
      <c r="O153" s="42">
        <f t="shared" ca="1" si="36"/>
        <v>0</v>
      </c>
      <c r="P153" s="42">
        <f t="shared" ca="1" si="37"/>
        <v>0.61208831999045366</v>
      </c>
      <c r="Q153" s="44">
        <f ca="1">IF(M153&lt;0,G153,IF(P153&lt;O153,G153,B153))</f>
        <v>8.0064303850041529</v>
      </c>
      <c r="R153" s="44">
        <f ca="1">IF(N153&lt;0,J153,IF(P153&lt;O153,J153,C153))</f>
        <v>4.0421105596394264</v>
      </c>
      <c r="S153" s="44">
        <f t="shared" ca="1" si="38"/>
        <v>-95.996412051682398</v>
      </c>
    </row>
    <row r="154" spans="1:19" x14ac:dyDescent="0.4">
      <c r="A154" s="42">
        <v>153</v>
      </c>
      <c r="B154" s="41">
        <f t="shared" ca="1" si="27"/>
        <v>8.0064303850041529</v>
      </c>
      <c r="C154" s="41">
        <f t="shared" ca="1" si="28"/>
        <v>4.0421105596394264</v>
      </c>
      <c r="D154" s="41">
        <f t="shared" ca="1" si="29"/>
        <v>-95.996412051682398</v>
      </c>
      <c r="E154" s="42">
        <f t="shared" ca="1" si="30"/>
        <v>-0.91718813369827923</v>
      </c>
      <c r="F154" s="42">
        <v>0.5</v>
      </c>
      <c r="G154" s="43">
        <f t="shared" ca="1" si="31"/>
        <v>7.5478363181550137</v>
      </c>
      <c r="H154" s="42">
        <f t="shared" ca="1" si="32"/>
        <v>0.24992100762513925</v>
      </c>
      <c r="I154" s="42">
        <v>0.5</v>
      </c>
      <c r="J154" s="43">
        <f t="shared" ca="1" si="33"/>
        <v>4.1670710634519956</v>
      </c>
      <c r="K154" s="43">
        <f t="shared" ca="1" si="34"/>
        <v>-95.739722524334411</v>
      </c>
      <c r="L154" s="42">
        <f t="shared" si="26"/>
        <v>9.9793888233711654E-8</v>
      </c>
      <c r="M154" s="42">
        <f ca="1">K154-D154</f>
        <v>0.25668952734798722</v>
      </c>
      <c r="N154" s="42">
        <f t="shared" ca="1" si="35"/>
        <v>2572196.8738890584</v>
      </c>
      <c r="O154" s="42">
        <f t="shared" ca="1" si="36"/>
        <v>0</v>
      </c>
      <c r="P154" s="42">
        <f t="shared" ca="1" si="37"/>
        <v>0.31732160025518963</v>
      </c>
      <c r="Q154" s="44">
        <f ca="1">IF(M154&lt;0,G154,IF(P154&lt;O154,G154,B154))</f>
        <v>8.0064303850041529</v>
      </c>
      <c r="R154" s="44">
        <f ca="1">IF(N154&lt;0,J154,IF(P154&lt;O154,J154,C154))</f>
        <v>4.0421105596394264</v>
      </c>
      <c r="S154" s="44">
        <f t="shared" ca="1" si="38"/>
        <v>-95.996412051682398</v>
      </c>
    </row>
    <row r="155" spans="1:19" x14ac:dyDescent="0.4">
      <c r="A155" s="42">
        <v>154</v>
      </c>
      <c r="B155" s="41">
        <f t="shared" ca="1" si="27"/>
        <v>8.0064303850041529</v>
      </c>
      <c r="C155" s="41">
        <f t="shared" ca="1" si="28"/>
        <v>4.0421105596394264</v>
      </c>
      <c r="D155" s="41">
        <f t="shared" ca="1" si="29"/>
        <v>-95.996412051682398</v>
      </c>
      <c r="E155" s="42">
        <f t="shared" ca="1" si="30"/>
        <v>-0.57673935257569853</v>
      </c>
      <c r="F155" s="42">
        <v>0.5</v>
      </c>
      <c r="G155" s="43">
        <f t="shared" ca="1" si="31"/>
        <v>7.7180607087163038</v>
      </c>
      <c r="H155" s="42">
        <f t="shared" ca="1" si="32"/>
        <v>0.21456430806744264</v>
      </c>
      <c r="I155" s="42">
        <v>0.5</v>
      </c>
      <c r="J155" s="43">
        <f t="shared" ca="1" si="33"/>
        <v>4.1493927136731479</v>
      </c>
      <c r="K155" s="43">
        <f t="shared" ca="1" si="34"/>
        <v>-95.875873870233193</v>
      </c>
      <c r="L155" s="42">
        <f t="shared" si="26"/>
        <v>8.9814499410340502E-8</v>
      </c>
      <c r="M155" s="42">
        <f ca="1">K155-D155</f>
        <v>0.12053818144920569</v>
      </c>
      <c r="N155" s="42">
        <f t="shared" ca="1" si="35"/>
        <v>1342079.3105854345</v>
      </c>
      <c r="O155" s="42">
        <f t="shared" ca="1" si="36"/>
        <v>0</v>
      </c>
      <c r="P155" s="42">
        <f t="shared" ca="1" si="37"/>
        <v>0.66455856485365672</v>
      </c>
      <c r="Q155" s="44">
        <f ca="1">IF(M155&lt;0,G155,IF(P155&lt;O155,G155,B155))</f>
        <v>8.0064303850041529</v>
      </c>
      <c r="R155" s="44">
        <f ca="1">IF(N155&lt;0,J155,IF(P155&lt;O155,J155,C155))</f>
        <v>4.0421105596394264</v>
      </c>
      <c r="S155" s="44">
        <f t="shared" ca="1" si="38"/>
        <v>-95.996412051682398</v>
      </c>
    </row>
    <row r="156" spans="1:19" x14ac:dyDescent="0.4">
      <c r="A156" s="42">
        <v>155</v>
      </c>
      <c r="B156" s="41">
        <f t="shared" ca="1" si="27"/>
        <v>8.0064303850041529</v>
      </c>
      <c r="C156" s="41">
        <f t="shared" ca="1" si="28"/>
        <v>4.0421105596394264</v>
      </c>
      <c r="D156" s="41">
        <f t="shared" ca="1" si="29"/>
        <v>-95.996412051682398</v>
      </c>
      <c r="E156" s="42">
        <f t="shared" ca="1" si="30"/>
        <v>0.51620993116319935</v>
      </c>
      <c r="F156" s="42">
        <v>0.5</v>
      </c>
      <c r="G156" s="43">
        <f t="shared" ca="1" si="31"/>
        <v>8.2645353505857528</v>
      </c>
      <c r="H156" s="42">
        <f t="shared" ca="1" si="32"/>
        <v>-0.64031335400342648</v>
      </c>
      <c r="I156" s="42">
        <v>0.5</v>
      </c>
      <c r="J156" s="43">
        <f t="shared" ca="1" si="33"/>
        <v>3.7219538826377132</v>
      </c>
      <c r="K156" s="43">
        <f t="shared" ca="1" si="34"/>
        <v>-95.775401761529992</v>
      </c>
      <c r="L156" s="42">
        <f t="shared" si="26"/>
        <v>8.0833049469306452E-8</v>
      </c>
      <c r="M156" s="42">
        <f ca="1">K156-D156</f>
        <v>0.2210102901524067</v>
      </c>
      <c r="N156" s="42">
        <f t="shared" ca="1" si="35"/>
        <v>2734157.5210066484</v>
      </c>
      <c r="O156" s="42">
        <f t="shared" ca="1" si="36"/>
        <v>0</v>
      </c>
      <c r="P156" s="42">
        <f t="shared" ca="1" si="37"/>
        <v>0.77274664595603793</v>
      </c>
      <c r="Q156" s="44">
        <f ca="1">IF(M156&lt;0,G156,IF(P156&lt;O156,G156,B156))</f>
        <v>8.0064303850041529</v>
      </c>
      <c r="R156" s="44">
        <f ca="1">IF(N156&lt;0,J156,IF(P156&lt;O156,J156,C156))</f>
        <v>4.0421105596394264</v>
      </c>
      <c r="S156" s="44">
        <f t="shared" ca="1" si="38"/>
        <v>-95.996412051682398</v>
      </c>
    </row>
    <row r="157" spans="1:19" x14ac:dyDescent="0.4">
      <c r="A157" s="42">
        <v>156</v>
      </c>
      <c r="B157" s="41">
        <f t="shared" ca="1" si="27"/>
        <v>8.0064303850041529</v>
      </c>
      <c r="C157" s="41">
        <f t="shared" ca="1" si="28"/>
        <v>4.0421105596394264</v>
      </c>
      <c r="D157" s="41">
        <f t="shared" ca="1" si="29"/>
        <v>-95.996412051682398</v>
      </c>
      <c r="E157" s="42">
        <f t="shared" ca="1" si="30"/>
        <v>0.46667050338196603</v>
      </c>
      <c r="F157" s="42">
        <v>0.5</v>
      </c>
      <c r="G157" s="43">
        <f t="shared" ca="1" si="31"/>
        <v>8.239765636695136</v>
      </c>
      <c r="H157" s="42">
        <f t="shared" ca="1" si="32"/>
        <v>-0.57066618082002707</v>
      </c>
      <c r="I157" s="42">
        <v>0.5</v>
      </c>
      <c r="J157" s="43">
        <f t="shared" ca="1" si="33"/>
        <v>3.7567774692294131</v>
      </c>
      <c r="K157" s="43">
        <f t="shared" ca="1" si="34"/>
        <v>-95.824198040511277</v>
      </c>
      <c r="L157" s="42">
        <f t="shared" si="26"/>
        <v>7.2749744522375817E-8</v>
      </c>
      <c r="M157" s="42">
        <f ca="1">K157-D157</f>
        <v>0.17221401117112123</v>
      </c>
      <c r="N157" s="42">
        <f t="shared" ca="1" si="35"/>
        <v>2367211.2156786057</v>
      </c>
      <c r="O157" s="42">
        <f t="shared" ca="1" si="36"/>
        <v>0</v>
      </c>
      <c r="P157" s="42">
        <f t="shared" ca="1" si="37"/>
        <v>0.9763859985615968</v>
      </c>
      <c r="Q157" s="44">
        <f ca="1">IF(M157&lt;0,G157,IF(P157&lt;O157,G157,B157))</f>
        <v>8.0064303850041529</v>
      </c>
      <c r="R157" s="44">
        <f ca="1">IF(N157&lt;0,J157,IF(P157&lt;O157,J157,C157))</f>
        <v>4.0421105596394264</v>
      </c>
      <c r="S157" s="44">
        <f t="shared" ca="1" si="38"/>
        <v>-95.996412051682398</v>
      </c>
    </row>
    <row r="158" spans="1:19" x14ac:dyDescent="0.4">
      <c r="A158" s="42">
        <v>157</v>
      </c>
      <c r="B158" s="41">
        <f t="shared" ca="1" si="27"/>
        <v>8.0064303850041529</v>
      </c>
      <c r="C158" s="41">
        <f t="shared" ca="1" si="28"/>
        <v>4.0421105596394264</v>
      </c>
      <c r="D158" s="41">
        <f t="shared" ca="1" si="29"/>
        <v>-95.996412051682398</v>
      </c>
      <c r="E158" s="42">
        <f t="shared" ca="1" si="30"/>
        <v>0.49411307895850443</v>
      </c>
      <c r="F158" s="42">
        <v>0.5</v>
      </c>
      <c r="G158" s="43">
        <f t="shared" ca="1" si="31"/>
        <v>8.2534869244834059</v>
      </c>
      <c r="H158" s="42">
        <f t="shared" ca="1" si="32"/>
        <v>0.80692234298582033</v>
      </c>
      <c r="I158" s="42">
        <v>0.5</v>
      </c>
      <c r="J158" s="43">
        <f t="shared" ca="1" si="33"/>
        <v>4.4455717311323362</v>
      </c>
      <c r="K158" s="43">
        <f t="shared" ca="1" si="34"/>
        <v>-95.538676043947419</v>
      </c>
      <c r="L158" s="42">
        <f t="shared" si="26"/>
        <v>6.5474770070138241E-8</v>
      </c>
      <c r="M158" s="42">
        <f ca="1">K158-D158</f>
        <v>0.45773600773497947</v>
      </c>
      <c r="N158" s="42">
        <f t="shared" ca="1" si="35"/>
        <v>6991028.8687480846</v>
      </c>
      <c r="O158" s="42">
        <f t="shared" ca="1" si="36"/>
        <v>0</v>
      </c>
      <c r="P158" s="42">
        <f t="shared" ca="1" si="37"/>
        <v>0.95503049130602558</v>
      </c>
      <c r="Q158" s="44">
        <f ca="1">IF(M158&lt;0,G158,IF(P158&lt;O158,G158,B158))</f>
        <v>8.0064303850041529</v>
      </c>
      <c r="R158" s="44">
        <f ca="1">IF(N158&lt;0,J158,IF(P158&lt;O158,J158,C158))</f>
        <v>4.0421105596394264</v>
      </c>
      <c r="S158" s="44">
        <f t="shared" ca="1" si="38"/>
        <v>-95.996412051682398</v>
      </c>
    </row>
    <row r="159" spans="1:19" x14ac:dyDescent="0.4">
      <c r="A159" s="42">
        <v>158</v>
      </c>
      <c r="B159" s="41">
        <f t="shared" ca="1" si="27"/>
        <v>8.0064303850041529</v>
      </c>
      <c r="C159" s="41">
        <f t="shared" ca="1" si="28"/>
        <v>4.0421105596394264</v>
      </c>
      <c r="D159" s="41">
        <f t="shared" ca="1" si="29"/>
        <v>-95.996412051682398</v>
      </c>
      <c r="E159" s="42">
        <f t="shared" ca="1" si="30"/>
        <v>0.55307572227721002</v>
      </c>
      <c r="F159" s="42">
        <v>0.5</v>
      </c>
      <c r="G159" s="43">
        <f t="shared" ca="1" si="31"/>
        <v>8.2829682461427581</v>
      </c>
      <c r="H159" s="42">
        <f t="shared" ca="1" si="32"/>
        <v>-6.2347552081935653E-2</v>
      </c>
      <c r="I159" s="42">
        <v>0.5</v>
      </c>
      <c r="J159" s="43">
        <f t="shared" ca="1" si="33"/>
        <v>4.0109367835984582</v>
      </c>
      <c r="K159" s="43">
        <f t="shared" ca="1" si="34"/>
        <v>-95.919689745203925</v>
      </c>
      <c r="L159" s="42">
        <f t="shared" si="26"/>
        <v>5.8927293063124415E-8</v>
      </c>
      <c r="M159" s="42">
        <f ca="1">K159-D159</f>
        <v>7.6722306478473001E-2</v>
      </c>
      <c r="N159" s="42">
        <f t="shared" ca="1" si="35"/>
        <v>1301982.5362805333</v>
      </c>
      <c r="O159" s="42">
        <f t="shared" ca="1" si="36"/>
        <v>0</v>
      </c>
      <c r="P159" s="42">
        <f t="shared" ca="1" si="37"/>
        <v>0.50344583099186135</v>
      </c>
      <c r="Q159" s="44">
        <f ca="1">IF(M159&lt;0,G159,IF(P159&lt;O159,G159,B159))</f>
        <v>8.0064303850041529</v>
      </c>
      <c r="R159" s="44">
        <f ca="1">IF(N159&lt;0,J159,IF(P159&lt;O159,J159,C159))</f>
        <v>4.0421105596394264</v>
      </c>
      <c r="S159" s="44">
        <f t="shared" ca="1" si="38"/>
        <v>-95.996412051682398</v>
      </c>
    </row>
    <row r="160" spans="1:19" x14ac:dyDescent="0.4">
      <c r="A160" s="42">
        <v>159</v>
      </c>
      <c r="B160" s="41">
        <f t="shared" ca="1" si="27"/>
        <v>8.0064303850041529</v>
      </c>
      <c r="C160" s="41">
        <f t="shared" ca="1" si="28"/>
        <v>4.0421105596394264</v>
      </c>
      <c r="D160" s="41">
        <f t="shared" ca="1" si="29"/>
        <v>-95.996412051682398</v>
      </c>
      <c r="E160" s="42">
        <f t="shared" ca="1" si="30"/>
        <v>0.78924237925232377</v>
      </c>
      <c r="F160" s="42">
        <v>0.5</v>
      </c>
      <c r="G160" s="43">
        <f t="shared" ca="1" si="31"/>
        <v>8.4010515746303156</v>
      </c>
      <c r="H160" s="42">
        <f t="shared" ca="1" si="32"/>
        <v>-0.7022251651522573</v>
      </c>
      <c r="I160" s="42">
        <v>0.5</v>
      </c>
      <c r="J160" s="43">
        <f t="shared" ca="1" si="33"/>
        <v>3.6909979770632977</v>
      </c>
      <c r="K160" s="43">
        <f t="shared" ca="1" si="34"/>
        <v>-95.64819313412859</v>
      </c>
      <c r="L160" s="42">
        <f t="shared" si="26"/>
        <v>5.3034563756811968E-8</v>
      </c>
      <c r="M160" s="42">
        <f ca="1">K160-D160</f>
        <v>0.34821891755380818</v>
      </c>
      <c r="N160" s="42">
        <f t="shared" ca="1" si="35"/>
        <v>6565886.3368906574</v>
      </c>
      <c r="O160" s="42">
        <f t="shared" ca="1" si="36"/>
        <v>0</v>
      </c>
      <c r="P160" s="42">
        <f t="shared" ca="1" si="37"/>
        <v>0.9375743339812842</v>
      </c>
      <c r="Q160" s="44">
        <f ca="1">IF(M160&lt;0,G160,IF(P160&lt;O160,G160,B160))</f>
        <v>8.0064303850041529</v>
      </c>
      <c r="R160" s="44">
        <f ca="1">IF(N160&lt;0,J160,IF(P160&lt;O160,J160,C160))</f>
        <v>4.0421105596394264</v>
      </c>
      <c r="S160" s="44">
        <f t="shared" ca="1" si="38"/>
        <v>-95.996412051682398</v>
      </c>
    </row>
    <row r="161" spans="1:19" x14ac:dyDescent="0.4">
      <c r="A161" s="42">
        <v>160</v>
      </c>
      <c r="B161" s="41">
        <f t="shared" ca="1" si="27"/>
        <v>8.0064303850041529</v>
      </c>
      <c r="C161" s="41">
        <f t="shared" ca="1" si="28"/>
        <v>4.0421105596394264</v>
      </c>
      <c r="D161" s="41">
        <f t="shared" ca="1" si="29"/>
        <v>-95.996412051682398</v>
      </c>
      <c r="E161" s="42">
        <f t="shared" ca="1" si="30"/>
        <v>0.34622982590851525</v>
      </c>
      <c r="F161" s="42">
        <v>0.5</v>
      </c>
      <c r="G161" s="43">
        <f t="shared" ca="1" si="31"/>
        <v>8.1795452979584109</v>
      </c>
      <c r="H161" s="42">
        <f t="shared" ca="1" si="32"/>
        <v>0.24223875813364004</v>
      </c>
      <c r="I161" s="42">
        <v>0.5</v>
      </c>
      <c r="J161" s="43">
        <f t="shared" ca="1" si="33"/>
        <v>4.1632299387062464</v>
      </c>
      <c r="K161" s="43">
        <f t="shared" ca="1" si="34"/>
        <v>-95.914475460200933</v>
      </c>
      <c r="L161" s="42">
        <f t="shared" si="26"/>
        <v>4.7731107381130783E-8</v>
      </c>
      <c r="M161" s="42">
        <f ca="1">K161-D161</f>
        <v>8.1936591481465371E-2</v>
      </c>
      <c r="N161" s="42">
        <f t="shared" ca="1" si="35"/>
        <v>1716628.7559013728</v>
      </c>
      <c r="O161" s="42">
        <f t="shared" ca="1" si="36"/>
        <v>0</v>
      </c>
      <c r="P161" s="42">
        <f t="shared" ca="1" si="37"/>
        <v>0.73087777781727215</v>
      </c>
      <c r="Q161" s="44">
        <f ca="1">IF(M161&lt;0,G161,IF(P161&lt;O161,G161,B161))</f>
        <v>8.0064303850041529</v>
      </c>
      <c r="R161" s="44">
        <f ca="1">IF(N161&lt;0,J161,IF(P161&lt;O161,J161,C161))</f>
        <v>4.0421105596394264</v>
      </c>
      <c r="S161" s="44">
        <f t="shared" ca="1" si="38"/>
        <v>-95.996412051682398</v>
      </c>
    </row>
    <row r="162" spans="1:19" x14ac:dyDescent="0.4">
      <c r="A162" s="42">
        <v>161</v>
      </c>
      <c r="B162" s="41">
        <f t="shared" ca="1" si="27"/>
        <v>8.0064303850041529</v>
      </c>
      <c r="C162" s="41">
        <f t="shared" ca="1" si="28"/>
        <v>4.0421105596394264</v>
      </c>
      <c r="D162" s="41">
        <f t="shared" ca="1" si="29"/>
        <v>-95.996412051682398</v>
      </c>
      <c r="E162" s="42">
        <f t="shared" ca="1" si="30"/>
        <v>0.55634269645585577</v>
      </c>
      <c r="F162" s="42">
        <v>0.5</v>
      </c>
      <c r="G162" s="43">
        <f t="shared" ca="1" si="31"/>
        <v>8.2846017332320816</v>
      </c>
      <c r="H162" s="42">
        <f t="shared" ca="1" si="32"/>
        <v>0.79994108464444635</v>
      </c>
      <c r="I162" s="42">
        <v>0.5</v>
      </c>
      <c r="J162" s="43">
        <f t="shared" ca="1" si="33"/>
        <v>4.4420811019616497</v>
      </c>
      <c r="K162" s="43">
        <f t="shared" ca="1" si="34"/>
        <v>-95.528130452018047</v>
      </c>
      <c r="L162" s="42">
        <f t="shared" si="26"/>
        <v>4.2957996643017702E-8</v>
      </c>
      <c r="M162" s="42">
        <f ca="1">K162-D162</f>
        <v>0.46828159966435123</v>
      </c>
      <c r="N162" s="42">
        <f t="shared" ca="1" si="35"/>
        <v>10900918.018961312</v>
      </c>
      <c r="O162" s="42">
        <f t="shared" ca="1" si="36"/>
        <v>0</v>
      </c>
      <c r="P162" s="42">
        <f t="shared" ca="1" si="37"/>
        <v>0.95690796773476328</v>
      </c>
      <c r="Q162" s="44">
        <f ca="1">IF(M162&lt;0,G162,IF(P162&lt;O162,G162,B162))</f>
        <v>8.0064303850041529</v>
      </c>
      <c r="R162" s="44">
        <f ca="1">IF(N162&lt;0,J162,IF(P162&lt;O162,J162,C162))</f>
        <v>4.0421105596394264</v>
      </c>
      <c r="S162" s="44">
        <f t="shared" ca="1" si="38"/>
        <v>-95.996412051682398</v>
      </c>
    </row>
    <row r="163" spans="1:19" x14ac:dyDescent="0.4">
      <c r="A163" s="42">
        <v>162</v>
      </c>
      <c r="B163" s="41">
        <f t="shared" ca="1" si="27"/>
        <v>8.0064303850041529</v>
      </c>
      <c r="C163" s="41">
        <f t="shared" ca="1" si="28"/>
        <v>4.0421105596394264</v>
      </c>
      <c r="D163" s="41">
        <f t="shared" ca="1" si="29"/>
        <v>-95.996412051682398</v>
      </c>
      <c r="E163" s="42">
        <f t="shared" ca="1" si="30"/>
        <v>0.23536230481289921</v>
      </c>
      <c r="F163" s="42">
        <v>0.5</v>
      </c>
      <c r="G163" s="43">
        <f t="shared" ca="1" si="31"/>
        <v>8.1241115374106023</v>
      </c>
      <c r="H163" s="42">
        <f t="shared" ca="1" si="32"/>
        <v>-0.41223740950072019</v>
      </c>
      <c r="I163" s="42">
        <v>0.5</v>
      </c>
      <c r="J163" s="43">
        <f t="shared" ca="1" si="33"/>
        <v>3.8359918548890661</v>
      </c>
      <c r="K163" s="43">
        <f t="shared" ca="1" si="34"/>
        <v>-95.930798982956119</v>
      </c>
      <c r="L163" s="42">
        <f t="shared" si="26"/>
        <v>3.8662196978715934E-8</v>
      </c>
      <c r="M163" s="42">
        <f ca="1">K163-D163</f>
        <v>6.5613068726278811E-2</v>
      </c>
      <c r="N163" s="42">
        <f t="shared" ca="1" si="35"/>
        <v>1697085.8837225339</v>
      </c>
      <c r="O163" s="42">
        <f t="shared" ca="1" si="36"/>
        <v>0</v>
      </c>
      <c r="P163" s="42">
        <f t="shared" ca="1" si="37"/>
        <v>0.66606804017278209</v>
      </c>
      <c r="Q163" s="44">
        <f ca="1">IF(M163&lt;0,G163,IF(P163&lt;O163,G163,B163))</f>
        <v>8.0064303850041529</v>
      </c>
      <c r="R163" s="44">
        <f ca="1">IF(N163&lt;0,J163,IF(P163&lt;O163,J163,C163))</f>
        <v>4.0421105596394264</v>
      </c>
      <c r="S163" s="44">
        <f t="shared" ca="1" si="38"/>
        <v>-95.996412051682398</v>
      </c>
    </row>
    <row r="164" spans="1:19" x14ac:dyDescent="0.4">
      <c r="A164" s="42">
        <v>163</v>
      </c>
      <c r="B164" s="41">
        <f t="shared" ca="1" si="27"/>
        <v>8.0064303850041529</v>
      </c>
      <c r="C164" s="41">
        <f t="shared" ca="1" si="28"/>
        <v>4.0421105596394264</v>
      </c>
      <c r="D164" s="41">
        <f t="shared" ca="1" si="29"/>
        <v>-95.996412051682398</v>
      </c>
      <c r="E164" s="42">
        <f t="shared" ca="1" si="30"/>
        <v>4.5735071009822326E-2</v>
      </c>
      <c r="F164" s="42">
        <v>0.5</v>
      </c>
      <c r="G164" s="43">
        <f t="shared" ca="1" si="31"/>
        <v>8.0292979205090642</v>
      </c>
      <c r="H164" s="42">
        <f t="shared" ca="1" si="32"/>
        <v>0.73665396499748836</v>
      </c>
      <c r="I164" s="42">
        <v>0.5</v>
      </c>
      <c r="J164" s="43">
        <f t="shared" ca="1" si="33"/>
        <v>4.4104375421381707</v>
      </c>
      <c r="K164" s="43">
        <f t="shared" ca="1" si="34"/>
        <v>-95.662223679861</v>
      </c>
      <c r="L164" s="42">
        <f t="shared" si="26"/>
        <v>3.479597728084434E-8</v>
      </c>
      <c r="M164" s="42">
        <f ca="1">K164-D164</f>
        <v>0.33418837182139782</v>
      </c>
      <c r="N164" s="42">
        <f t="shared" ca="1" si="35"/>
        <v>9604224.336741738</v>
      </c>
      <c r="O164" s="42">
        <f t="shared" ca="1" si="36"/>
        <v>0</v>
      </c>
      <c r="P164" s="42">
        <f t="shared" ca="1" si="37"/>
        <v>0.7467880775626724</v>
      </c>
      <c r="Q164" s="44">
        <f ca="1">IF(M164&lt;0,G164,IF(P164&lt;O164,G164,B164))</f>
        <v>8.0064303850041529</v>
      </c>
      <c r="R164" s="44">
        <f ca="1">IF(N164&lt;0,J164,IF(P164&lt;O164,J164,C164))</f>
        <v>4.0421105596394264</v>
      </c>
      <c r="S164" s="44">
        <f t="shared" ca="1" si="38"/>
        <v>-95.996412051682398</v>
      </c>
    </row>
    <row r="165" spans="1:19" x14ac:dyDescent="0.4">
      <c r="A165" s="42">
        <v>164</v>
      </c>
      <c r="B165" s="41">
        <f t="shared" ca="1" si="27"/>
        <v>8.0064303850041529</v>
      </c>
      <c r="C165" s="41">
        <f t="shared" ca="1" si="28"/>
        <v>4.0421105596394264</v>
      </c>
      <c r="D165" s="41">
        <f t="shared" ca="1" si="29"/>
        <v>-95.996412051682398</v>
      </c>
      <c r="E165" s="42">
        <f t="shared" ca="1" si="30"/>
        <v>-0.84622615470305163</v>
      </c>
      <c r="F165" s="42">
        <v>0.5</v>
      </c>
      <c r="G165" s="43">
        <f t="shared" ca="1" si="31"/>
        <v>7.583317307652627</v>
      </c>
      <c r="H165" s="42">
        <f t="shared" ca="1" si="32"/>
        <v>0.20817663804221676</v>
      </c>
      <c r="I165" s="42">
        <v>0.5</v>
      </c>
      <c r="J165" s="43">
        <f t="shared" ca="1" si="33"/>
        <v>4.1461988786605346</v>
      </c>
      <c r="K165" s="43">
        <f t="shared" ca="1" si="34"/>
        <v>-95.783627309654946</v>
      </c>
      <c r="L165" s="42">
        <f t="shared" si="26"/>
        <v>3.131637955275991E-8</v>
      </c>
      <c r="M165" s="42">
        <f ca="1">K165-D165</f>
        <v>0.21278474202745201</v>
      </c>
      <c r="N165" s="42">
        <f t="shared" ca="1" si="35"/>
        <v>6794678.8570806971</v>
      </c>
      <c r="O165" s="42">
        <f t="shared" ca="1" si="36"/>
        <v>0</v>
      </c>
      <c r="P165" s="42">
        <f t="shared" ca="1" si="37"/>
        <v>4.5692207774009619E-3</v>
      </c>
      <c r="Q165" s="44">
        <f ca="1">IF(M165&lt;0,G165,IF(P165&lt;O165,G165,B165))</f>
        <v>8.0064303850041529</v>
      </c>
      <c r="R165" s="44">
        <f ca="1">IF(N165&lt;0,J165,IF(P165&lt;O165,J165,C165))</f>
        <v>4.0421105596394264</v>
      </c>
      <c r="S165" s="44">
        <f t="shared" ca="1" si="38"/>
        <v>-95.996412051682398</v>
      </c>
    </row>
    <row r="166" spans="1:19" x14ac:dyDescent="0.4">
      <c r="A166" s="42">
        <v>165</v>
      </c>
      <c r="B166" s="41">
        <f t="shared" ca="1" si="27"/>
        <v>8.0064303850041529</v>
      </c>
      <c r="C166" s="41">
        <f t="shared" ca="1" si="28"/>
        <v>4.0421105596394264</v>
      </c>
      <c r="D166" s="41">
        <f t="shared" ca="1" si="29"/>
        <v>-95.996412051682398</v>
      </c>
      <c r="E166" s="42">
        <f t="shared" ca="1" si="30"/>
        <v>0.33109509664802284</v>
      </c>
      <c r="F166" s="42">
        <v>0.5</v>
      </c>
      <c r="G166" s="43">
        <f t="shared" ca="1" si="31"/>
        <v>8.171977933328165</v>
      </c>
      <c r="H166" s="42">
        <f t="shared" ca="1" si="32"/>
        <v>-0.13522816657012915</v>
      </c>
      <c r="I166" s="42">
        <v>0.5</v>
      </c>
      <c r="J166" s="43">
        <f t="shared" ca="1" si="33"/>
        <v>3.974496476354362</v>
      </c>
      <c r="K166" s="43">
        <f t="shared" ca="1" si="34"/>
        <v>-95.969122731011481</v>
      </c>
      <c r="L166" s="42">
        <f t="shared" si="26"/>
        <v>2.8184741597483923E-8</v>
      </c>
      <c r="M166" s="42">
        <f ca="1">K166-D166</f>
        <v>2.728932067091705E-2</v>
      </c>
      <c r="N166" s="42">
        <f t="shared" ca="1" si="35"/>
        <v>968230.29498177813</v>
      </c>
      <c r="O166" s="42">
        <f t="shared" ca="1" si="36"/>
        <v>0</v>
      </c>
      <c r="P166" s="42">
        <f t="shared" ca="1" si="37"/>
        <v>0.56191645217679487</v>
      </c>
      <c r="Q166" s="44">
        <f ca="1">IF(M166&lt;0,G166,IF(P166&lt;O166,G166,B166))</f>
        <v>8.0064303850041529</v>
      </c>
      <c r="R166" s="44">
        <f ca="1">IF(N166&lt;0,J166,IF(P166&lt;O166,J166,C166))</f>
        <v>4.0421105596394264</v>
      </c>
      <c r="S166" s="44">
        <f t="shared" ca="1" si="38"/>
        <v>-95.996412051682398</v>
      </c>
    </row>
    <row r="167" spans="1:19" x14ac:dyDescent="0.4">
      <c r="A167" s="42">
        <v>166</v>
      </c>
      <c r="B167" s="41">
        <f t="shared" ca="1" si="27"/>
        <v>8.0064303850041529</v>
      </c>
      <c r="C167" s="41">
        <f t="shared" ca="1" si="28"/>
        <v>4.0421105596394264</v>
      </c>
      <c r="D167" s="41">
        <f t="shared" ca="1" si="29"/>
        <v>-95.996412051682398</v>
      </c>
      <c r="E167" s="42">
        <f t="shared" ca="1" si="30"/>
        <v>-0.13417616804701549</v>
      </c>
      <c r="F167" s="42">
        <v>0.5</v>
      </c>
      <c r="G167" s="43">
        <f t="shared" ca="1" si="31"/>
        <v>7.9393423009806448</v>
      </c>
      <c r="H167" s="42">
        <f t="shared" ca="1" si="32"/>
        <v>-0.47612626983548445</v>
      </c>
      <c r="I167" s="42">
        <v>0.5</v>
      </c>
      <c r="J167" s="43">
        <f t="shared" ca="1" si="33"/>
        <v>3.8040474247216842</v>
      </c>
      <c r="K167" s="43">
        <f t="shared" ca="1" si="34"/>
        <v>-95.919525820033272</v>
      </c>
      <c r="L167" s="42">
        <f t="shared" si="26"/>
        <v>2.5366267437735529E-8</v>
      </c>
      <c r="M167" s="42">
        <f ca="1">K167-D167</f>
        <v>7.6886231649126557E-2</v>
      </c>
      <c r="N167" s="42">
        <f t="shared" ca="1" si="35"/>
        <v>3031042.3809041991</v>
      </c>
      <c r="O167" s="42">
        <f t="shared" ca="1" si="36"/>
        <v>0</v>
      </c>
      <c r="P167" s="42">
        <f t="shared" ca="1" si="37"/>
        <v>0.5501128730981889</v>
      </c>
      <c r="Q167" s="44">
        <f ca="1">IF(M167&lt;0,G167,IF(P167&lt;O167,G167,B167))</f>
        <v>8.0064303850041529</v>
      </c>
      <c r="R167" s="44">
        <f ca="1">IF(N167&lt;0,J167,IF(P167&lt;O167,J167,C167))</f>
        <v>4.0421105596394264</v>
      </c>
      <c r="S167" s="44">
        <f t="shared" ca="1" si="38"/>
        <v>-95.996412051682398</v>
      </c>
    </row>
    <row r="168" spans="1:19" x14ac:dyDescent="0.4">
      <c r="A168" s="42">
        <v>167</v>
      </c>
      <c r="B168" s="41">
        <f t="shared" ca="1" si="27"/>
        <v>8.0064303850041529</v>
      </c>
      <c r="C168" s="41">
        <f t="shared" ca="1" si="28"/>
        <v>4.0421105596394264</v>
      </c>
      <c r="D168" s="41">
        <f t="shared" ca="1" si="29"/>
        <v>-95.996412051682398</v>
      </c>
      <c r="E168" s="42">
        <f t="shared" ca="1" si="30"/>
        <v>0.84827986827014601</v>
      </c>
      <c r="F168" s="42">
        <v>0.5</v>
      </c>
      <c r="G168" s="43">
        <f t="shared" ca="1" si="31"/>
        <v>8.4305703191392265</v>
      </c>
      <c r="H168" s="42">
        <f t="shared" ca="1" si="32"/>
        <v>0.45695874099227329</v>
      </c>
      <c r="I168" s="42">
        <v>0.5</v>
      </c>
      <c r="J168" s="43">
        <f t="shared" ca="1" si="33"/>
        <v>4.2705899301355634</v>
      </c>
      <c r="K168" s="43">
        <f t="shared" ca="1" si="34"/>
        <v>-95.668171379694812</v>
      </c>
      <c r="L168" s="42">
        <f t="shared" si="26"/>
        <v>2.2829640693961978E-8</v>
      </c>
      <c r="M168" s="42">
        <f ca="1">K168-D168</f>
        <v>0.32824067198758655</v>
      </c>
      <c r="N168" s="42">
        <f t="shared" ca="1" si="35"/>
        <v>14377829.085781459</v>
      </c>
      <c r="O168" s="42">
        <f t="shared" ca="1" si="36"/>
        <v>0</v>
      </c>
      <c r="P168" s="42">
        <f t="shared" ca="1" si="37"/>
        <v>0.74643321035149635</v>
      </c>
      <c r="Q168" s="44">
        <f ca="1">IF(M168&lt;0,G168,IF(P168&lt;O168,G168,B168))</f>
        <v>8.0064303850041529</v>
      </c>
      <c r="R168" s="44">
        <f ca="1">IF(N168&lt;0,J168,IF(P168&lt;O168,J168,C168))</f>
        <v>4.0421105596394264</v>
      </c>
      <c r="S168" s="44">
        <f t="shared" ca="1" si="38"/>
        <v>-95.996412051682398</v>
      </c>
    </row>
    <row r="169" spans="1:19" x14ac:dyDescent="0.4">
      <c r="A169" s="42">
        <v>168</v>
      </c>
      <c r="B169" s="41">
        <f t="shared" ca="1" si="27"/>
        <v>8.0064303850041529</v>
      </c>
      <c r="C169" s="41">
        <f t="shared" ca="1" si="28"/>
        <v>4.0421105596394264</v>
      </c>
      <c r="D169" s="41">
        <f t="shared" ca="1" si="29"/>
        <v>-95.996412051682398</v>
      </c>
      <c r="E169" s="42">
        <f t="shared" ca="1" si="30"/>
        <v>-0.47564995248382691</v>
      </c>
      <c r="F169" s="42">
        <v>0.5</v>
      </c>
      <c r="G169" s="43">
        <f t="shared" ca="1" si="31"/>
        <v>7.7686054087622392</v>
      </c>
      <c r="H169" s="42">
        <f t="shared" ca="1" si="32"/>
        <v>-0.71124760488677108</v>
      </c>
      <c r="I169" s="42">
        <v>0.5</v>
      </c>
      <c r="J169" s="43">
        <f t="shared" ca="1" si="33"/>
        <v>3.6864867571960409</v>
      </c>
      <c r="K169" s="43">
        <f t="shared" ca="1" si="34"/>
        <v>-95.749875436319002</v>
      </c>
      <c r="L169" s="42">
        <f t="shared" si="26"/>
        <v>2.054667662456578E-8</v>
      </c>
      <c r="M169" s="42">
        <f ca="1">K169-D169</f>
        <v>0.24653661536339655</v>
      </c>
      <c r="N169" s="42">
        <f t="shared" ca="1" si="35"/>
        <v>11998856.061648203</v>
      </c>
      <c r="O169" s="42">
        <f t="shared" ca="1" si="36"/>
        <v>0</v>
      </c>
      <c r="P169" s="42">
        <f t="shared" ca="1" si="37"/>
        <v>0.18290297861473193</v>
      </c>
      <c r="Q169" s="44">
        <f ca="1">IF(M169&lt;0,G169,IF(P169&lt;O169,G169,B169))</f>
        <v>8.0064303850041529</v>
      </c>
      <c r="R169" s="44">
        <f ca="1">IF(N169&lt;0,J169,IF(P169&lt;O169,J169,C169))</f>
        <v>4.0421105596394264</v>
      </c>
      <c r="S169" s="44">
        <f t="shared" ca="1" si="38"/>
        <v>-95.996412051682398</v>
      </c>
    </row>
    <row r="170" spans="1:19" x14ac:dyDescent="0.4">
      <c r="A170" s="42">
        <v>169</v>
      </c>
      <c r="B170" s="41">
        <f t="shared" ca="1" si="27"/>
        <v>8.0064303850041529</v>
      </c>
      <c r="C170" s="41">
        <f t="shared" ca="1" si="28"/>
        <v>4.0421105596394264</v>
      </c>
      <c r="D170" s="41">
        <f t="shared" ca="1" si="29"/>
        <v>-95.996412051682398</v>
      </c>
      <c r="E170" s="42">
        <f t="shared" ca="1" si="30"/>
        <v>-0.58040070342927308</v>
      </c>
      <c r="F170" s="42">
        <v>0.5</v>
      </c>
      <c r="G170" s="43">
        <f t="shared" ca="1" si="31"/>
        <v>7.7162300332895164</v>
      </c>
      <c r="H170" s="42">
        <f t="shared" ca="1" si="32"/>
        <v>-0.45282134736691848</v>
      </c>
      <c r="I170" s="42">
        <v>0.5</v>
      </c>
      <c r="J170" s="43">
        <f t="shared" ca="1" si="33"/>
        <v>3.8156998859559672</v>
      </c>
      <c r="K170" s="43">
        <f t="shared" ca="1" si="34"/>
        <v>-95.851541541919843</v>
      </c>
      <c r="L170" s="42">
        <f t="shared" si="26"/>
        <v>1.8492008962109203E-8</v>
      </c>
      <c r="M170" s="42">
        <f ca="1">K170-D170</f>
        <v>0.14487050976255489</v>
      </c>
      <c r="N170" s="42">
        <f t="shared" ca="1" si="35"/>
        <v>7834222.3421695186</v>
      </c>
      <c r="O170" s="42">
        <f t="shared" ca="1" si="36"/>
        <v>0</v>
      </c>
      <c r="P170" s="42">
        <f t="shared" ca="1" si="37"/>
        <v>0.88778052008450825</v>
      </c>
      <c r="Q170" s="44">
        <f ca="1">IF(M170&lt;0,G170,IF(P170&lt;O170,G170,B170))</f>
        <v>8.0064303850041529</v>
      </c>
      <c r="R170" s="44">
        <f ca="1">IF(N170&lt;0,J170,IF(P170&lt;O170,J170,C170))</f>
        <v>4.0421105596394264</v>
      </c>
      <c r="S170" s="44">
        <f t="shared" ca="1" si="38"/>
        <v>-95.996412051682398</v>
      </c>
    </row>
    <row r="171" spans="1:19" x14ac:dyDescent="0.4">
      <c r="A171" s="42">
        <v>170</v>
      </c>
      <c r="B171" s="41">
        <f t="shared" ca="1" si="27"/>
        <v>8.0064303850041529</v>
      </c>
      <c r="C171" s="41">
        <f t="shared" ca="1" si="28"/>
        <v>4.0421105596394264</v>
      </c>
      <c r="D171" s="41">
        <f t="shared" ca="1" si="29"/>
        <v>-95.996412051682398</v>
      </c>
      <c r="E171" s="42">
        <f t="shared" ca="1" si="30"/>
        <v>0.1316016736370067</v>
      </c>
      <c r="F171" s="42">
        <v>0.5</v>
      </c>
      <c r="G171" s="43">
        <f t="shared" ca="1" si="31"/>
        <v>8.0722312218226566</v>
      </c>
      <c r="H171" s="42">
        <f t="shared" ca="1" si="32"/>
        <v>-0.50771610604790407</v>
      </c>
      <c r="I171" s="42">
        <v>0.5</v>
      </c>
      <c r="J171" s="43">
        <f t="shared" ca="1" si="33"/>
        <v>3.7882525066154744</v>
      </c>
      <c r="K171" s="43">
        <f t="shared" ca="1" si="34"/>
        <v>-95.905108648684745</v>
      </c>
      <c r="L171" s="42">
        <f t="shared" si="26"/>
        <v>1.6642808065898284E-8</v>
      </c>
      <c r="M171" s="42">
        <f ca="1">K171-D171</f>
        <v>9.1303402997652938E-2</v>
      </c>
      <c r="N171" s="42">
        <f t="shared" ca="1" si="35"/>
        <v>5486057.5592851378</v>
      </c>
      <c r="O171" s="42">
        <f t="shared" ca="1" si="36"/>
        <v>0</v>
      </c>
      <c r="P171" s="42">
        <f t="shared" ca="1" si="37"/>
        <v>0.90936461454175765</v>
      </c>
      <c r="Q171" s="44">
        <f ca="1">IF(M171&lt;0,G171,IF(P171&lt;O171,G171,B171))</f>
        <v>8.0064303850041529</v>
      </c>
      <c r="R171" s="44">
        <f ca="1">IF(N171&lt;0,J171,IF(P171&lt;O171,J171,C171))</f>
        <v>4.0421105596394264</v>
      </c>
      <c r="S171" s="44">
        <f t="shared" ca="1" si="38"/>
        <v>-95.996412051682398</v>
      </c>
    </row>
    <row r="172" spans="1:19" x14ac:dyDescent="0.4">
      <c r="A172" s="42">
        <v>171</v>
      </c>
      <c r="B172" s="41">
        <f t="shared" ca="1" si="27"/>
        <v>8.0064303850041529</v>
      </c>
      <c r="C172" s="41">
        <f t="shared" ca="1" si="28"/>
        <v>4.0421105596394264</v>
      </c>
      <c r="D172" s="41">
        <f t="shared" ca="1" si="29"/>
        <v>-95.996412051682398</v>
      </c>
      <c r="E172" s="42">
        <f t="shared" ca="1" si="30"/>
        <v>0.70101084330662</v>
      </c>
      <c r="F172" s="42">
        <v>0.5</v>
      </c>
      <c r="G172" s="43">
        <f t="shared" ca="1" si="31"/>
        <v>8.3569358066574626</v>
      </c>
      <c r="H172" s="42">
        <f t="shared" ca="1" si="32"/>
        <v>-0.94173985524811799</v>
      </c>
      <c r="I172" s="42">
        <v>0.5</v>
      </c>
      <c r="J172" s="43">
        <f t="shared" ca="1" si="33"/>
        <v>3.5712406320153676</v>
      </c>
      <c r="K172" s="43">
        <f t="shared" ca="1" si="34"/>
        <v>-95.504927638656625</v>
      </c>
      <c r="L172" s="42">
        <f t="shared" si="26"/>
        <v>1.4978527259308456E-8</v>
      </c>
      <c r="M172" s="42">
        <f ca="1">K172-D172</f>
        <v>0.49148441302577339</v>
      </c>
      <c r="N172" s="42">
        <f t="shared" ca="1" si="35"/>
        <v>32812599.297460221</v>
      </c>
      <c r="O172" s="42">
        <f t="shared" ca="1" si="36"/>
        <v>0</v>
      </c>
      <c r="P172" s="42">
        <f t="shared" ca="1" si="37"/>
        <v>0.52523469921272292</v>
      </c>
      <c r="Q172" s="44">
        <f ca="1">IF(M172&lt;0,G172,IF(P172&lt;O172,G172,B172))</f>
        <v>8.0064303850041529</v>
      </c>
      <c r="R172" s="44">
        <f ca="1">IF(N172&lt;0,J172,IF(P172&lt;O172,J172,C172))</f>
        <v>4.0421105596394264</v>
      </c>
      <c r="S172" s="44">
        <f t="shared" ca="1" si="38"/>
        <v>-95.996412051682398</v>
      </c>
    </row>
    <row r="173" spans="1:19" x14ac:dyDescent="0.4">
      <c r="A173" s="42">
        <v>172</v>
      </c>
      <c r="B173" s="41">
        <f t="shared" ca="1" si="27"/>
        <v>8.0064303850041529</v>
      </c>
      <c r="C173" s="41">
        <f t="shared" ca="1" si="28"/>
        <v>4.0421105596394264</v>
      </c>
      <c r="D173" s="41">
        <f t="shared" ca="1" si="29"/>
        <v>-95.996412051682398</v>
      </c>
      <c r="E173" s="42">
        <f t="shared" ca="1" si="30"/>
        <v>0.15909848292932893</v>
      </c>
      <c r="F173" s="42">
        <v>0.5</v>
      </c>
      <c r="G173" s="43">
        <f t="shared" ca="1" si="31"/>
        <v>8.0859796264688182</v>
      </c>
      <c r="H173" s="42">
        <f t="shared" ca="1" si="32"/>
        <v>-0.58408892632604736</v>
      </c>
      <c r="I173" s="42">
        <v>0.5</v>
      </c>
      <c r="J173" s="43">
        <f t="shared" ca="1" si="33"/>
        <v>3.7500660964764028</v>
      </c>
      <c r="K173" s="43">
        <f t="shared" ca="1" si="34"/>
        <v>-95.867673591571204</v>
      </c>
      <c r="L173" s="42">
        <f t="shared" si="26"/>
        <v>1.3480674533377612E-8</v>
      </c>
      <c r="M173" s="42">
        <f ca="1">K173-D173</f>
        <v>0.12873846011119383</v>
      </c>
      <c r="N173" s="42">
        <f t="shared" ca="1" si="35"/>
        <v>9549852.9982637409</v>
      </c>
      <c r="O173" s="42">
        <f t="shared" ca="1" si="36"/>
        <v>0</v>
      </c>
      <c r="P173" s="42">
        <f t="shared" ca="1" si="37"/>
        <v>0.69395862851478241</v>
      </c>
      <c r="Q173" s="44">
        <f ca="1">IF(M173&lt;0,G173,IF(P173&lt;O173,G173,B173))</f>
        <v>8.0064303850041529</v>
      </c>
      <c r="R173" s="44">
        <f ca="1">IF(N173&lt;0,J173,IF(P173&lt;O173,J173,C173))</f>
        <v>4.0421105596394264</v>
      </c>
      <c r="S173" s="44">
        <f t="shared" ca="1" si="38"/>
        <v>-95.996412051682398</v>
      </c>
    </row>
    <row r="174" spans="1:19" x14ac:dyDescent="0.4">
      <c r="A174" s="42">
        <v>173</v>
      </c>
      <c r="B174" s="41">
        <f t="shared" ca="1" si="27"/>
        <v>8.0064303850041529</v>
      </c>
      <c r="C174" s="41">
        <f t="shared" ca="1" si="28"/>
        <v>4.0421105596394264</v>
      </c>
      <c r="D174" s="41">
        <f t="shared" ca="1" si="29"/>
        <v>-95.996412051682398</v>
      </c>
      <c r="E174" s="42">
        <f t="shared" ca="1" si="30"/>
        <v>0.34383956800805371</v>
      </c>
      <c r="F174" s="42">
        <v>0.5</v>
      </c>
      <c r="G174" s="43">
        <f t="shared" ca="1" si="31"/>
        <v>8.1783501690081799</v>
      </c>
      <c r="H174" s="42">
        <f t="shared" ca="1" si="32"/>
        <v>0.56964448605806584</v>
      </c>
      <c r="I174" s="42">
        <v>0.5</v>
      </c>
      <c r="J174" s="43">
        <f t="shared" ca="1" si="33"/>
        <v>4.326932802668459</v>
      </c>
      <c r="K174" s="43">
        <f t="shared" ca="1" si="34"/>
        <v>-95.754421102293435</v>
      </c>
      <c r="L174" s="42">
        <f t="shared" si="26"/>
        <v>1.2132607080039853E-8</v>
      </c>
      <c r="M174" s="42">
        <f ca="1">K174-D174</f>
        <v>0.24199094938896337</v>
      </c>
      <c r="N174" s="42">
        <f t="shared" ca="1" si="35"/>
        <v>19945502.874405168</v>
      </c>
      <c r="O174" s="42">
        <f t="shared" ca="1" si="36"/>
        <v>0</v>
      </c>
      <c r="P174" s="42">
        <f t="shared" ca="1" si="37"/>
        <v>1.4496652673281707E-2</v>
      </c>
      <c r="Q174" s="44">
        <f ca="1">IF(M174&lt;0,G174,IF(P174&lt;O174,G174,B174))</f>
        <v>8.0064303850041529</v>
      </c>
      <c r="R174" s="44">
        <f ca="1">IF(N174&lt;0,J174,IF(P174&lt;O174,J174,C174))</f>
        <v>4.0421105596394264</v>
      </c>
      <c r="S174" s="44">
        <f t="shared" ca="1" si="38"/>
        <v>-95.996412051682398</v>
      </c>
    </row>
    <row r="175" spans="1:19" x14ac:dyDescent="0.4">
      <c r="A175" s="42">
        <v>174</v>
      </c>
      <c r="B175" s="41">
        <f t="shared" ca="1" si="27"/>
        <v>8.0064303850041529</v>
      </c>
      <c r="C175" s="41">
        <f t="shared" ca="1" si="28"/>
        <v>4.0421105596394264</v>
      </c>
      <c r="D175" s="41">
        <f t="shared" ca="1" si="29"/>
        <v>-95.996412051682398</v>
      </c>
      <c r="E175" s="42">
        <f t="shared" ca="1" si="30"/>
        <v>0.77136718938495763</v>
      </c>
      <c r="F175" s="42">
        <v>0.5</v>
      </c>
      <c r="G175" s="43">
        <f t="shared" ca="1" si="31"/>
        <v>8.3921139796966315</v>
      </c>
      <c r="H175" s="42">
        <f t="shared" ca="1" si="32"/>
        <v>0.68786463181177027</v>
      </c>
      <c r="I175" s="42">
        <v>0.5</v>
      </c>
      <c r="J175" s="43">
        <f t="shared" ca="1" si="33"/>
        <v>4.3860428755453116</v>
      </c>
      <c r="K175" s="43">
        <f t="shared" ca="1" si="34"/>
        <v>-95.548188423407879</v>
      </c>
      <c r="L175" s="42">
        <f t="shared" si="26"/>
        <v>1.0919346372035865E-8</v>
      </c>
      <c r="M175" s="42">
        <f ca="1">K175-D175</f>
        <v>0.44822362827451911</v>
      </c>
      <c r="N175" s="42">
        <f t="shared" ca="1" si="35"/>
        <v>41048576.810641989</v>
      </c>
      <c r="O175" s="42">
        <f t="shared" ca="1" si="36"/>
        <v>0</v>
      </c>
      <c r="P175" s="42">
        <f t="shared" ca="1" si="37"/>
        <v>8.0485060405398712E-2</v>
      </c>
      <c r="Q175" s="44">
        <f ca="1">IF(M175&lt;0,G175,IF(P175&lt;O175,G175,B175))</f>
        <v>8.0064303850041529</v>
      </c>
      <c r="R175" s="44">
        <f ca="1">IF(N175&lt;0,J175,IF(P175&lt;O175,J175,C175))</f>
        <v>4.0421105596394264</v>
      </c>
      <c r="S175" s="44">
        <f t="shared" ca="1" si="38"/>
        <v>-95.996412051682398</v>
      </c>
    </row>
    <row r="176" spans="1:19" x14ac:dyDescent="0.4">
      <c r="A176" s="42">
        <v>175</v>
      </c>
      <c r="B176" s="41">
        <f t="shared" ca="1" si="27"/>
        <v>8.0064303850041529</v>
      </c>
      <c r="C176" s="41">
        <f t="shared" ca="1" si="28"/>
        <v>4.0421105596394264</v>
      </c>
      <c r="D176" s="41">
        <f t="shared" ca="1" si="29"/>
        <v>-95.996412051682398</v>
      </c>
      <c r="E176" s="42">
        <f t="shared" ca="1" si="30"/>
        <v>0.39107910612906571</v>
      </c>
      <c r="F176" s="42">
        <v>0.5</v>
      </c>
      <c r="G176" s="43">
        <f t="shared" ca="1" si="31"/>
        <v>8.2019699380686859</v>
      </c>
      <c r="H176" s="42">
        <f t="shared" ca="1" si="32"/>
        <v>-0.29305045230628624</v>
      </c>
      <c r="I176" s="42">
        <v>0.5</v>
      </c>
      <c r="J176" s="43">
        <f t="shared" ca="1" si="33"/>
        <v>3.8955853334862836</v>
      </c>
      <c r="K176" s="43">
        <f t="shared" ca="1" si="34"/>
        <v>-95.937403298950187</v>
      </c>
      <c r="L176" s="42">
        <f t="shared" si="26"/>
        <v>9.8274117348322793E-9</v>
      </c>
      <c r="M176" s="42">
        <f ca="1">K176-D176</f>
        <v>5.9008752732211178E-2</v>
      </c>
      <c r="N176" s="42">
        <f t="shared" ca="1" si="35"/>
        <v>6004506.0006044675</v>
      </c>
      <c r="O176" s="42">
        <f t="shared" ca="1" si="36"/>
        <v>0</v>
      </c>
      <c r="P176" s="42">
        <f t="shared" ca="1" si="37"/>
        <v>0.72507156729964006</v>
      </c>
      <c r="Q176" s="44">
        <f ca="1">IF(M176&lt;0,G176,IF(P176&lt;O176,G176,B176))</f>
        <v>8.0064303850041529</v>
      </c>
      <c r="R176" s="44">
        <f ca="1">IF(N176&lt;0,J176,IF(P176&lt;O176,J176,C176))</f>
        <v>4.0421105596394264</v>
      </c>
      <c r="S176" s="44">
        <f t="shared" ca="1" si="38"/>
        <v>-95.996412051682398</v>
      </c>
    </row>
    <row r="177" spans="1:19" x14ac:dyDescent="0.4">
      <c r="A177" s="42">
        <v>176</v>
      </c>
      <c r="B177" s="41">
        <f t="shared" ca="1" si="27"/>
        <v>8.0064303850041529</v>
      </c>
      <c r="C177" s="41">
        <f t="shared" ca="1" si="28"/>
        <v>4.0421105596394264</v>
      </c>
      <c r="D177" s="41">
        <f t="shared" ca="1" si="29"/>
        <v>-95.996412051682398</v>
      </c>
      <c r="E177" s="42">
        <f t="shared" ca="1" si="30"/>
        <v>0.98337953303110059</v>
      </c>
      <c r="F177" s="42">
        <v>0.5</v>
      </c>
      <c r="G177" s="43">
        <f t="shared" ca="1" si="31"/>
        <v>8.4981201515197036</v>
      </c>
      <c r="H177" s="42">
        <f t="shared" ca="1" si="32"/>
        <v>0.93745315032882059</v>
      </c>
      <c r="I177" s="42">
        <v>0.5</v>
      </c>
      <c r="J177" s="43">
        <f t="shared" ca="1" si="33"/>
        <v>4.510837134803837</v>
      </c>
      <c r="K177" s="43">
        <f t="shared" ca="1" si="34"/>
        <v>-95.229967158060802</v>
      </c>
      <c r="L177" s="42">
        <f t="shared" si="26"/>
        <v>8.8446705613490528E-9</v>
      </c>
      <c r="M177" s="42">
        <f ca="1">K177-D177</f>
        <v>0.76644489362159618</v>
      </c>
      <c r="N177" s="42">
        <f t="shared" ca="1" si="35"/>
        <v>86656126.794697985</v>
      </c>
      <c r="O177" s="42">
        <f t="shared" ca="1" si="36"/>
        <v>0</v>
      </c>
      <c r="P177" s="42">
        <f t="shared" ca="1" si="37"/>
        <v>0.18092256577382382</v>
      </c>
      <c r="Q177" s="44">
        <f ca="1">IF(M177&lt;0,G177,IF(P177&lt;O177,G177,B177))</f>
        <v>8.0064303850041529</v>
      </c>
      <c r="R177" s="44">
        <f ca="1">IF(N177&lt;0,J177,IF(P177&lt;O177,J177,C177))</f>
        <v>4.0421105596394264</v>
      </c>
      <c r="S177" s="44">
        <f t="shared" ca="1" si="38"/>
        <v>-95.996412051682398</v>
      </c>
    </row>
    <row r="178" spans="1:19" x14ac:dyDescent="0.4">
      <c r="A178" s="42">
        <v>177</v>
      </c>
      <c r="B178" s="41">
        <f t="shared" ca="1" si="27"/>
        <v>8.0064303850041529</v>
      </c>
      <c r="C178" s="41">
        <f t="shared" ca="1" si="28"/>
        <v>4.0421105596394264</v>
      </c>
      <c r="D178" s="41">
        <f t="shared" ca="1" si="29"/>
        <v>-95.996412051682398</v>
      </c>
      <c r="E178" s="42">
        <f t="shared" ca="1" si="30"/>
        <v>0.75521991933209631</v>
      </c>
      <c r="F178" s="42">
        <v>0.5</v>
      </c>
      <c r="G178" s="43">
        <f t="shared" ca="1" si="31"/>
        <v>8.3840403446702005</v>
      </c>
      <c r="H178" s="42">
        <f t="shared" ca="1" si="32"/>
        <v>0.2889350547365368</v>
      </c>
      <c r="I178" s="42">
        <v>0.5</v>
      </c>
      <c r="J178" s="43">
        <f t="shared" ca="1" si="33"/>
        <v>4.1865780870076952</v>
      </c>
      <c r="K178" s="43">
        <f t="shared" ca="1" si="34"/>
        <v>-95.782890248562694</v>
      </c>
      <c r="L178" s="42">
        <f t="shared" si="26"/>
        <v>7.960203505214148E-9</v>
      </c>
      <c r="M178" s="42">
        <f ca="1">K178-D178</f>
        <v>0.21352180311970415</v>
      </c>
      <c r="N178" s="42">
        <f t="shared" ca="1" si="35"/>
        <v>26823661.352356333</v>
      </c>
      <c r="O178" s="42">
        <f t="shared" ca="1" si="36"/>
        <v>0</v>
      </c>
      <c r="P178" s="42">
        <f t="shared" ca="1" si="37"/>
        <v>0.36823553395367425</v>
      </c>
      <c r="Q178" s="44">
        <f ca="1">IF(M178&lt;0,G178,IF(P178&lt;O178,G178,B178))</f>
        <v>8.0064303850041529</v>
      </c>
      <c r="R178" s="44">
        <f ca="1">IF(N178&lt;0,J178,IF(P178&lt;O178,J178,C178))</f>
        <v>4.0421105596394264</v>
      </c>
      <c r="S178" s="44">
        <f t="shared" ca="1" si="38"/>
        <v>-95.996412051682398</v>
      </c>
    </row>
    <row r="179" spans="1:19" x14ac:dyDescent="0.4">
      <c r="A179" s="42">
        <v>178</v>
      </c>
      <c r="B179" s="41">
        <f t="shared" ca="1" si="27"/>
        <v>8.0064303850041529</v>
      </c>
      <c r="C179" s="41">
        <f t="shared" ca="1" si="28"/>
        <v>4.0421105596394264</v>
      </c>
      <c r="D179" s="41">
        <f t="shared" ca="1" si="29"/>
        <v>-95.996412051682398</v>
      </c>
      <c r="E179" s="42">
        <f t="shared" ca="1" si="30"/>
        <v>-0.69437857848911277</v>
      </c>
      <c r="F179" s="42">
        <v>0.5</v>
      </c>
      <c r="G179" s="43">
        <f t="shared" ca="1" si="31"/>
        <v>7.6592410957595964</v>
      </c>
      <c r="H179" s="42">
        <f t="shared" ca="1" si="32"/>
        <v>0.16426452976056782</v>
      </c>
      <c r="I179" s="42">
        <v>0.5</v>
      </c>
      <c r="J179" s="43">
        <f t="shared" ca="1" si="33"/>
        <v>4.12424282451971</v>
      </c>
      <c r="K179" s="43">
        <f t="shared" ca="1" si="34"/>
        <v>-95.853010810291607</v>
      </c>
      <c r="L179" s="42">
        <f t="shared" si="26"/>
        <v>7.1641831546927322E-9</v>
      </c>
      <c r="M179" s="42">
        <f ca="1">K179-D179</f>
        <v>0.1434012413907908</v>
      </c>
      <c r="N179" s="42">
        <f t="shared" ca="1" si="35"/>
        <v>20016411.961335625</v>
      </c>
      <c r="O179" s="42">
        <f t="shared" ca="1" si="36"/>
        <v>0</v>
      </c>
      <c r="P179" s="42">
        <f t="shared" ca="1" si="37"/>
        <v>0.95141666505164202</v>
      </c>
      <c r="Q179" s="44">
        <f ca="1">IF(M179&lt;0,G179,IF(P179&lt;O179,G179,B179))</f>
        <v>8.0064303850041529</v>
      </c>
      <c r="R179" s="44">
        <f ca="1">IF(N179&lt;0,J179,IF(P179&lt;O179,J179,C179))</f>
        <v>4.0421105596394264</v>
      </c>
      <c r="S179" s="44">
        <f t="shared" ca="1" si="38"/>
        <v>-95.996412051682398</v>
      </c>
    </row>
    <row r="180" spans="1:19" x14ac:dyDescent="0.4">
      <c r="A180" s="42">
        <v>179</v>
      </c>
      <c r="B180" s="41">
        <f t="shared" ca="1" si="27"/>
        <v>8.0064303850041529</v>
      </c>
      <c r="C180" s="41">
        <f t="shared" ca="1" si="28"/>
        <v>4.0421105596394264</v>
      </c>
      <c r="D180" s="41">
        <f t="shared" ca="1" si="29"/>
        <v>-95.996412051682398</v>
      </c>
      <c r="E180" s="42">
        <f t="shared" ca="1" si="30"/>
        <v>-0.74470667683942704</v>
      </c>
      <c r="F180" s="42">
        <v>0.5</v>
      </c>
      <c r="G180" s="43">
        <f t="shared" ca="1" si="31"/>
        <v>7.634077046584439</v>
      </c>
      <c r="H180" s="42">
        <f t="shared" ca="1" si="32"/>
        <v>0.25430986467310235</v>
      </c>
      <c r="I180" s="42">
        <v>0.5</v>
      </c>
      <c r="J180" s="43">
        <f t="shared" ca="1" si="33"/>
        <v>4.1692654919759775</v>
      </c>
      <c r="K180" s="43">
        <f t="shared" ca="1" si="34"/>
        <v>-95.808798778615895</v>
      </c>
      <c r="L180" s="42">
        <f t="shared" si="26"/>
        <v>6.4477648392234608E-9</v>
      </c>
      <c r="M180" s="42">
        <f ca="1">K180-D180</f>
        <v>0.18761327306650344</v>
      </c>
      <c r="N180" s="42">
        <f t="shared" ca="1" si="35"/>
        <v>29097412.474661332</v>
      </c>
      <c r="O180" s="42">
        <f t="shared" ca="1" si="36"/>
        <v>0</v>
      </c>
      <c r="P180" s="42">
        <f t="shared" ca="1" si="37"/>
        <v>0.29235714770686727</v>
      </c>
      <c r="Q180" s="44">
        <f ca="1">IF(M180&lt;0,G180,IF(P180&lt;O180,G180,B180))</f>
        <v>8.0064303850041529</v>
      </c>
      <c r="R180" s="44">
        <f ca="1">IF(N180&lt;0,J180,IF(P180&lt;O180,J180,C180))</f>
        <v>4.0421105596394264</v>
      </c>
      <c r="S180" s="44">
        <f t="shared" ca="1" si="38"/>
        <v>-95.996412051682398</v>
      </c>
    </row>
    <row r="181" spans="1:19" x14ac:dyDescent="0.4">
      <c r="A181" s="42">
        <v>180</v>
      </c>
      <c r="B181" s="41">
        <f t="shared" ca="1" si="27"/>
        <v>8.0064303850041529</v>
      </c>
      <c r="C181" s="41">
        <f t="shared" ca="1" si="28"/>
        <v>4.0421105596394264</v>
      </c>
      <c r="D181" s="41">
        <f t="shared" ca="1" si="29"/>
        <v>-95.996412051682398</v>
      </c>
      <c r="E181" s="42">
        <f t="shared" ca="1" si="30"/>
        <v>0.79140917192215698</v>
      </c>
      <c r="F181" s="42">
        <v>0.5</v>
      </c>
      <c r="G181" s="43">
        <f t="shared" ca="1" si="31"/>
        <v>8.402134970965232</v>
      </c>
      <c r="H181" s="42">
        <f t="shared" ca="1" si="32"/>
        <v>-0.74316826164800909</v>
      </c>
      <c r="I181" s="42">
        <v>0.5</v>
      </c>
      <c r="J181" s="43">
        <f t="shared" ca="1" si="33"/>
        <v>3.670526428815422</v>
      </c>
      <c r="K181" s="43">
        <f t="shared" ca="1" si="34"/>
        <v>-95.621181796908559</v>
      </c>
      <c r="L181" s="42">
        <f t="shared" si="26"/>
        <v>5.8029883553011155E-9</v>
      </c>
      <c r="M181" s="42">
        <f ca="1">K181-D181</f>
        <v>0.37523025477383953</v>
      </c>
      <c r="N181" s="42">
        <f t="shared" ca="1" si="35"/>
        <v>64661555.701910235</v>
      </c>
      <c r="O181" s="42">
        <f t="shared" ca="1" si="36"/>
        <v>0</v>
      </c>
      <c r="P181" s="42">
        <f t="shared" ca="1" si="37"/>
        <v>0.34604163954357936</v>
      </c>
      <c r="Q181" s="44">
        <f ca="1">IF(M181&lt;0,G181,IF(P181&lt;O181,G181,B181))</f>
        <v>8.0064303850041529</v>
      </c>
      <c r="R181" s="44">
        <f ca="1">IF(N181&lt;0,J181,IF(P181&lt;O181,J181,C181))</f>
        <v>4.0421105596394264</v>
      </c>
      <c r="S181" s="44">
        <f t="shared" ca="1" si="38"/>
        <v>-95.996412051682398</v>
      </c>
    </row>
    <row r="182" spans="1:19" x14ac:dyDescent="0.4">
      <c r="A182" s="42">
        <v>181</v>
      </c>
      <c r="B182" s="41">
        <f t="shared" ca="1" si="27"/>
        <v>8.0064303850041529</v>
      </c>
      <c r="C182" s="41">
        <f t="shared" ca="1" si="28"/>
        <v>4.0421105596394264</v>
      </c>
      <c r="D182" s="41">
        <f t="shared" ca="1" si="29"/>
        <v>-95.996412051682398</v>
      </c>
      <c r="E182" s="42">
        <f t="shared" ca="1" si="30"/>
        <v>3.8167035235105118E-2</v>
      </c>
      <c r="F182" s="42">
        <v>0.5</v>
      </c>
      <c r="G182" s="43">
        <f t="shared" ca="1" si="31"/>
        <v>8.0255139026217055</v>
      </c>
      <c r="H182" s="42">
        <f t="shared" ca="1" si="32"/>
        <v>-0.65500651570329627</v>
      </c>
      <c r="I182" s="42">
        <v>0.5</v>
      </c>
      <c r="J182" s="43">
        <f t="shared" ca="1" si="33"/>
        <v>3.7146073017877783</v>
      </c>
      <c r="K182" s="43">
        <f t="shared" ca="1" si="34"/>
        <v>-95.836451056387318</v>
      </c>
      <c r="L182" s="42">
        <f t="shared" si="26"/>
        <v>5.222689519771004E-9</v>
      </c>
      <c r="M182" s="42">
        <f ca="1">K182-D182</f>
        <v>0.15996099529508001</v>
      </c>
      <c r="N182" s="42">
        <f t="shared" ca="1" si="35"/>
        <v>30628088.208102733</v>
      </c>
      <c r="O182" s="42">
        <f t="shared" ca="1" si="36"/>
        <v>0</v>
      </c>
      <c r="P182" s="42">
        <f t="shared" ca="1" si="37"/>
        <v>0.48589801540150157</v>
      </c>
      <c r="Q182" s="44">
        <f ca="1">IF(M182&lt;0,G182,IF(P182&lt;O182,G182,B182))</f>
        <v>8.0064303850041529</v>
      </c>
      <c r="R182" s="44">
        <f ca="1">IF(N182&lt;0,J182,IF(P182&lt;O182,J182,C182))</f>
        <v>4.0421105596394264</v>
      </c>
      <c r="S182" s="44">
        <f t="shared" ca="1" si="38"/>
        <v>-95.996412051682398</v>
      </c>
    </row>
    <row r="183" spans="1:19" x14ac:dyDescent="0.4">
      <c r="A183" s="42">
        <v>182</v>
      </c>
      <c r="B183" s="41">
        <f t="shared" ca="1" si="27"/>
        <v>8.0064303850041529</v>
      </c>
      <c r="C183" s="41">
        <f t="shared" ca="1" si="28"/>
        <v>4.0421105596394264</v>
      </c>
      <c r="D183" s="41">
        <f t="shared" ca="1" si="29"/>
        <v>-95.996412051682398</v>
      </c>
      <c r="E183" s="42">
        <f t="shared" ca="1" si="30"/>
        <v>-0.24897110883480611</v>
      </c>
      <c r="F183" s="42">
        <v>0.5</v>
      </c>
      <c r="G183" s="43">
        <f t="shared" ca="1" si="31"/>
        <v>7.8819448305867503</v>
      </c>
      <c r="H183" s="42">
        <f t="shared" ca="1" si="32"/>
        <v>-0.59989299313612121</v>
      </c>
      <c r="I183" s="42">
        <v>0.5</v>
      </c>
      <c r="J183" s="43">
        <f t="shared" ca="1" si="33"/>
        <v>3.7421640630713657</v>
      </c>
      <c r="K183" s="43">
        <f t="shared" ca="1" si="34"/>
        <v>-95.853104236231076</v>
      </c>
      <c r="L183" s="42">
        <f t="shared" si="26"/>
        <v>4.700420567793904E-9</v>
      </c>
      <c r="M183" s="42">
        <f ca="1">K183-D183</f>
        <v>0.14330781545132254</v>
      </c>
      <c r="N183" s="42">
        <f t="shared" ca="1" si="35"/>
        <v>30488296.394844227</v>
      </c>
      <c r="O183" s="42">
        <f t="shared" ca="1" si="36"/>
        <v>0</v>
      </c>
      <c r="P183" s="42">
        <f t="shared" ca="1" si="37"/>
        <v>9.2993335528071763E-2</v>
      </c>
      <c r="Q183" s="44">
        <f ca="1">IF(M183&lt;0,G183,IF(P183&lt;O183,G183,B183))</f>
        <v>8.0064303850041529</v>
      </c>
      <c r="R183" s="44">
        <f ca="1">IF(N183&lt;0,J183,IF(P183&lt;O183,J183,C183))</f>
        <v>4.0421105596394264</v>
      </c>
      <c r="S183" s="44">
        <f t="shared" ca="1" si="38"/>
        <v>-95.996412051682398</v>
      </c>
    </row>
    <row r="184" spans="1:19" x14ac:dyDescent="0.4">
      <c r="A184" s="42">
        <v>183</v>
      </c>
      <c r="B184" s="41">
        <f t="shared" ca="1" si="27"/>
        <v>8.0064303850041529</v>
      </c>
      <c r="C184" s="41">
        <f t="shared" ca="1" si="28"/>
        <v>4.0421105596394264</v>
      </c>
      <c r="D184" s="41">
        <f t="shared" ca="1" si="29"/>
        <v>-95.996412051682398</v>
      </c>
      <c r="E184" s="42">
        <f t="shared" ca="1" si="30"/>
        <v>0.1471036252326734</v>
      </c>
      <c r="F184" s="42">
        <v>0.5</v>
      </c>
      <c r="G184" s="43">
        <f t="shared" ca="1" si="31"/>
        <v>8.07998219762049</v>
      </c>
      <c r="H184" s="42">
        <f t="shared" ca="1" si="32"/>
        <v>-0.34319120624731725</v>
      </c>
      <c r="I184" s="42">
        <v>0.5</v>
      </c>
      <c r="J184" s="43">
        <f t="shared" ca="1" si="33"/>
        <v>3.8705149565157679</v>
      </c>
      <c r="K184" s="43">
        <f t="shared" ca="1" si="34"/>
        <v>-95.960070095091567</v>
      </c>
      <c r="L184" s="42">
        <f t="shared" si="26"/>
        <v>4.2303785110145132E-9</v>
      </c>
      <c r="M184" s="42">
        <f ca="1">K184-D184</f>
        <v>3.6341956590831614E-2</v>
      </c>
      <c r="N184" s="42">
        <f t="shared" ca="1" si="35"/>
        <v>8590710.3811654486</v>
      </c>
      <c r="O184" s="42">
        <f t="shared" ca="1" si="36"/>
        <v>0</v>
      </c>
      <c r="P184" s="42">
        <f t="shared" ca="1" si="37"/>
        <v>0.54819123165336803</v>
      </c>
      <c r="Q184" s="44">
        <f ca="1">IF(M184&lt;0,G184,IF(P184&lt;O184,G184,B184))</f>
        <v>8.0064303850041529</v>
      </c>
      <c r="R184" s="44">
        <f ca="1">IF(N184&lt;0,J184,IF(P184&lt;O184,J184,C184))</f>
        <v>4.0421105596394264</v>
      </c>
      <c r="S184" s="44">
        <f t="shared" ca="1" si="38"/>
        <v>-95.996412051682398</v>
      </c>
    </row>
    <row r="185" spans="1:19" x14ac:dyDescent="0.4">
      <c r="A185" s="42">
        <v>184</v>
      </c>
      <c r="B185" s="41">
        <f t="shared" ca="1" si="27"/>
        <v>8.0064303850041529</v>
      </c>
      <c r="C185" s="41">
        <f t="shared" ca="1" si="28"/>
        <v>4.0421105596394264</v>
      </c>
      <c r="D185" s="41">
        <f t="shared" ca="1" si="29"/>
        <v>-95.996412051682398</v>
      </c>
      <c r="E185" s="42">
        <f t="shared" ca="1" si="30"/>
        <v>0.62916005957094501</v>
      </c>
      <c r="F185" s="42">
        <v>0.5</v>
      </c>
      <c r="G185" s="43">
        <f t="shared" ca="1" si="31"/>
        <v>8.321010414789626</v>
      </c>
      <c r="H185" s="42">
        <f t="shared" ca="1" si="32"/>
        <v>0.29703626980406739</v>
      </c>
      <c r="I185" s="42">
        <v>0.5</v>
      </c>
      <c r="J185" s="43">
        <f t="shared" ca="1" si="33"/>
        <v>4.1906286945414601</v>
      </c>
      <c r="K185" s="43">
        <f t="shared" ca="1" si="34"/>
        <v>-95.824273715231413</v>
      </c>
      <c r="L185" s="42">
        <f t="shared" si="26"/>
        <v>3.8073406599130615E-9</v>
      </c>
      <c r="M185" s="42">
        <f ca="1">K185-D185</f>
        <v>0.17213833645098475</v>
      </c>
      <c r="N185" s="42">
        <f t="shared" ca="1" si="35"/>
        <v>45212223.393457897</v>
      </c>
      <c r="O185" s="42">
        <f t="shared" ca="1" si="36"/>
        <v>0</v>
      </c>
      <c r="P185" s="42">
        <f t="shared" ca="1" si="37"/>
        <v>0.92119700585884501</v>
      </c>
      <c r="Q185" s="44">
        <f ca="1">IF(M185&lt;0,G185,IF(P185&lt;O185,G185,B185))</f>
        <v>8.0064303850041529</v>
      </c>
      <c r="R185" s="44">
        <f ca="1">IF(N185&lt;0,J185,IF(P185&lt;O185,J185,C185))</f>
        <v>4.0421105596394264</v>
      </c>
      <c r="S185" s="44">
        <f t="shared" ca="1" si="38"/>
        <v>-95.996412051682398</v>
      </c>
    </row>
    <row r="186" spans="1:19" x14ac:dyDescent="0.4">
      <c r="A186" s="42">
        <v>185</v>
      </c>
      <c r="B186" s="41">
        <f t="shared" ca="1" si="27"/>
        <v>8.0064303850041529</v>
      </c>
      <c r="C186" s="41">
        <f t="shared" ca="1" si="28"/>
        <v>4.0421105596394264</v>
      </c>
      <c r="D186" s="41">
        <f t="shared" ca="1" si="29"/>
        <v>-95.996412051682398</v>
      </c>
      <c r="E186" s="42">
        <f t="shared" ca="1" si="30"/>
        <v>-0.25067451537573349</v>
      </c>
      <c r="F186" s="42">
        <v>0.5</v>
      </c>
      <c r="G186" s="43">
        <f t="shared" ca="1" si="31"/>
        <v>7.8810931273162863</v>
      </c>
      <c r="H186" s="42">
        <f t="shared" ca="1" si="32"/>
        <v>0.27092664760695184</v>
      </c>
      <c r="I186" s="42">
        <v>0.5</v>
      </c>
      <c r="J186" s="43">
        <f t="shared" ca="1" si="33"/>
        <v>4.1775738834429026</v>
      </c>
      <c r="K186" s="43">
        <f t="shared" ca="1" si="34"/>
        <v>-95.922796187466588</v>
      </c>
      <c r="L186" s="42">
        <f t="shared" si="26"/>
        <v>3.4266065939217559E-9</v>
      </c>
      <c r="M186" s="42">
        <f ca="1">K186-D186</f>
        <v>7.3615864215810234E-2</v>
      </c>
      <c r="N186" s="42">
        <f t="shared" ca="1" si="35"/>
        <v>21483605.484911174</v>
      </c>
      <c r="O186" s="42">
        <f t="shared" ca="1" si="36"/>
        <v>0</v>
      </c>
      <c r="P186" s="42">
        <f t="shared" ca="1" si="37"/>
        <v>0.79795346219868046</v>
      </c>
      <c r="Q186" s="44">
        <f ca="1">IF(M186&lt;0,G186,IF(P186&lt;O186,G186,B186))</f>
        <v>8.0064303850041529</v>
      </c>
      <c r="R186" s="44">
        <f ca="1">IF(N186&lt;0,J186,IF(P186&lt;O186,J186,C186))</f>
        <v>4.0421105596394264</v>
      </c>
      <c r="S186" s="44">
        <f t="shared" ca="1" si="38"/>
        <v>-95.996412051682398</v>
      </c>
    </row>
    <row r="187" spans="1:19" x14ac:dyDescent="0.4">
      <c r="A187" s="42">
        <v>186</v>
      </c>
      <c r="B187" s="41">
        <f t="shared" ca="1" si="27"/>
        <v>8.0064303850041529</v>
      </c>
      <c r="C187" s="41">
        <f t="shared" ca="1" si="28"/>
        <v>4.0421105596394264</v>
      </c>
      <c r="D187" s="41">
        <f t="shared" ca="1" si="29"/>
        <v>-95.996412051682398</v>
      </c>
      <c r="E187" s="42">
        <f t="shared" ca="1" si="30"/>
        <v>-0.97929760687152156</v>
      </c>
      <c r="F187" s="42">
        <v>0.5</v>
      </c>
      <c r="G187" s="43">
        <f t="shared" ca="1" si="31"/>
        <v>7.5167815815683925</v>
      </c>
      <c r="H187" s="42">
        <f t="shared" ca="1" si="32"/>
        <v>-0.13953546069906553</v>
      </c>
      <c r="I187" s="42">
        <v>0.5</v>
      </c>
      <c r="J187" s="43">
        <f t="shared" ca="1" si="33"/>
        <v>3.9723428292898939</v>
      </c>
      <c r="K187" s="43">
        <f t="shared" ca="1" si="34"/>
        <v>-95.76497012190508</v>
      </c>
      <c r="L187" s="42">
        <f t="shared" si="26"/>
        <v>3.0839459345295808E-9</v>
      </c>
      <c r="M187" s="42">
        <f ca="1">K187-D187</f>
        <v>0.23144192977731848</v>
      </c>
      <c r="N187" s="42">
        <f t="shared" ca="1" si="35"/>
        <v>75047336.980186775</v>
      </c>
      <c r="O187" s="42">
        <f t="shared" ca="1" si="36"/>
        <v>0</v>
      </c>
      <c r="P187" s="42">
        <f t="shared" ca="1" si="37"/>
        <v>0.27495475261362212</v>
      </c>
      <c r="Q187" s="44">
        <f ca="1">IF(M187&lt;0,G187,IF(P187&lt;O187,G187,B187))</f>
        <v>8.0064303850041529</v>
      </c>
      <c r="R187" s="44">
        <f ca="1">IF(N187&lt;0,J187,IF(P187&lt;O187,J187,C187))</f>
        <v>4.0421105596394264</v>
      </c>
      <c r="S187" s="44">
        <f t="shared" ca="1" si="38"/>
        <v>-95.996412051682398</v>
      </c>
    </row>
    <row r="188" spans="1:19" x14ac:dyDescent="0.4">
      <c r="A188" s="42">
        <v>187</v>
      </c>
      <c r="B188" s="41">
        <f t="shared" ca="1" si="27"/>
        <v>8.0064303850041529</v>
      </c>
      <c r="C188" s="41">
        <f t="shared" ca="1" si="28"/>
        <v>4.0421105596394264</v>
      </c>
      <c r="D188" s="41">
        <f t="shared" ca="1" si="29"/>
        <v>-95.996412051682398</v>
      </c>
      <c r="E188" s="42">
        <f t="shared" ca="1" si="30"/>
        <v>0.17681283197953723</v>
      </c>
      <c r="F188" s="42">
        <v>0.5</v>
      </c>
      <c r="G188" s="43">
        <f t="shared" ca="1" si="31"/>
        <v>8.0948368009939209</v>
      </c>
      <c r="H188" s="42">
        <f t="shared" ca="1" si="32"/>
        <v>-5.2067875784169493E-2</v>
      </c>
      <c r="I188" s="42">
        <v>0.5</v>
      </c>
      <c r="J188" s="43">
        <f t="shared" ca="1" si="33"/>
        <v>4.0160766217473416</v>
      </c>
      <c r="K188" s="43">
        <f t="shared" ca="1" si="34"/>
        <v>-95.990489065643629</v>
      </c>
      <c r="L188" s="42">
        <f t="shared" si="26"/>
        <v>2.7755513410766229E-9</v>
      </c>
      <c r="M188" s="42">
        <f ca="1">K188-D188</f>
        <v>5.9229860387688404E-3</v>
      </c>
      <c r="N188" s="42">
        <f t="shared" ca="1" si="35"/>
        <v>2133985.399985915</v>
      </c>
      <c r="O188" s="42">
        <f t="shared" ca="1" si="36"/>
        <v>0</v>
      </c>
      <c r="P188" s="42">
        <f t="shared" ca="1" si="37"/>
        <v>0.40202988239039961</v>
      </c>
      <c r="Q188" s="44">
        <f ca="1">IF(M188&lt;0,G188,IF(P188&lt;O188,G188,B188))</f>
        <v>8.0064303850041529</v>
      </c>
      <c r="R188" s="44">
        <f ca="1">IF(N188&lt;0,J188,IF(P188&lt;O188,J188,C188))</f>
        <v>4.0421105596394264</v>
      </c>
      <c r="S188" s="44">
        <f t="shared" ca="1" si="38"/>
        <v>-95.996412051682398</v>
      </c>
    </row>
    <row r="189" spans="1:19" x14ac:dyDescent="0.4">
      <c r="A189" s="42">
        <v>188</v>
      </c>
      <c r="B189" s="41">
        <f t="shared" ca="1" si="27"/>
        <v>8.0064303850041529</v>
      </c>
      <c r="C189" s="41">
        <f t="shared" ca="1" si="28"/>
        <v>4.0421105596394264</v>
      </c>
      <c r="D189" s="41">
        <f t="shared" ca="1" si="29"/>
        <v>-95.996412051682398</v>
      </c>
      <c r="E189" s="42">
        <f t="shared" ca="1" si="30"/>
        <v>0.75462182623849872</v>
      </c>
      <c r="F189" s="42">
        <v>0.5</v>
      </c>
      <c r="G189" s="43">
        <f t="shared" ca="1" si="31"/>
        <v>8.3837412981234021</v>
      </c>
      <c r="H189" s="42">
        <f t="shared" ca="1" si="32"/>
        <v>0.35164705791920747</v>
      </c>
      <c r="I189" s="42">
        <v>0.5</v>
      </c>
      <c r="J189" s="43">
        <f t="shared" ca="1" si="33"/>
        <v>4.21793408859903</v>
      </c>
      <c r="K189" s="43">
        <f t="shared" ca="1" si="34"/>
        <v>-95.757752082167599</v>
      </c>
      <c r="L189" s="42">
        <f t="shared" si="26"/>
        <v>2.4979962069689606E-9</v>
      </c>
      <c r="M189" s="42">
        <f ca="1">K189-D189</f>
        <v>0.23865996951479929</v>
      </c>
      <c r="N189" s="42">
        <f t="shared" ca="1" si="35"/>
        <v>95540565.213422209</v>
      </c>
      <c r="O189" s="42">
        <f t="shared" ca="1" si="36"/>
        <v>0</v>
      </c>
      <c r="P189" s="42">
        <f t="shared" ca="1" si="37"/>
        <v>0.40148567263153245</v>
      </c>
      <c r="Q189" s="44">
        <f ca="1">IF(M189&lt;0,G189,IF(P189&lt;O189,G189,B189))</f>
        <v>8.0064303850041529</v>
      </c>
      <c r="R189" s="44">
        <f ca="1">IF(N189&lt;0,J189,IF(P189&lt;O189,J189,C189))</f>
        <v>4.0421105596394264</v>
      </c>
      <c r="S189" s="44">
        <f t="shared" ca="1" si="38"/>
        <v>-95.996412051682398</v>
      </c>
    </row>
    <row r="190" spans="1:19" x14ac:dyDescent="0.4">
      <c r="A190" s="42">
        <v>189</v>
      </c>
      <c r="B190" s="41">
        <f t="shared" ca="1" si="27"/>
        <v>8.0064303850041529</v>
      </c>
      <c r="C190" s="41">
        <f t="shared" ca="1" si="28"/>
        <v>4.0421105596394264</v>
      </c>
      <c r="D190" s="41">
        <f t="shared" ca="1" si="29"/>
        <v>-95.996412051682398</v>
      </c>
      <c r="E190" s="42">
        <f t="shared" ca="1" si="30"/>
        <v>-0.15386655310916697</v>
      </c>
      <c r="F190" s="42">
        <v>0.5</v>
      </c>
      <c r="G190" s="43">
        <f t="shared" ca="1" si="31"/>
        <v>7.9294971084495698</v>
      </c>
      <c r="H190" s="42">
        <f t="shared" ca="1" si="32"/>
        <v>0.12983752796307901</v>
      </c>
      <c r="I190" s="42">
        <v>0.5</v>
      </c>
      <c r="J190" s="43">
        <f t="shared" ca="1" si="33"/>
        <v>4.1070293236209663</v>
      </c>
      <c r="K190" s="43">
        <f t="shared" ca="1" si="34"/>
        <v>-95.9721187900535</v>
      </c>
      <c r="L190" s="42">
        <f t="shared" si="26"/>
        <v>2.2481965862720645E-9</v>
      </c>
      <c r="M190" s="42">
        <f ca="1">K190-D190</f>
        <v>2.4293261628898222E-2</v>
      </c>
      <c r="N190" s="42">
        <f t="shared" ca="1" si="35"/>
        <v>10805666.095766583</v>
      </c>
      <c r="O190" s="42">
        <f t="shared" ca="1" si="36"/>
        <v>0</v>
      </c>
      <c r="P190" s="42">
        <f t="shared" ca="1" si="37"/>
        <v>6.1762385297867706E-2</v>
      </c>
      <c r="Q190" s="44">
        <f ca="1">IF(M190&lt;0,G190,IF(P190&lt;O190,G190,B190))</f>
        <v>8.0064303850041529</v>
      </c>
      <c r="R190" s="44">
        <f ca="1">IF(N190&lt;0,J190,IF(P190&lt;O190,J190,C190))</f>
        <v>4.0421105596394264</v>
      </c>
      <c r="S190" s="44">
        <f t="shared" ca="1" si="38"/>
        <v>-95.996412051682398</v>
      </c>
    </row>
    <row r="191" spans="1:19" x14ac:dyDescent="0.4">
      <c r="A191" s="42">
        <v>190</v>
      </c>
      <c r="B191" s="41">
        <f t="shared" ca="1" si="27"/>
        <v>8.0064303850041529</v>
      </c>
      <c r="C191" s="41">
        <f t="shared" ca="1" si="28"/>
        <v>4.0421105596394264</v>
      </c>
      <c r="D191" s="41">
        <f t="shared" ca="1" si="29"/>
        <v>-95.996412051682398</v>
      </c>
      <c r="E191" s="42">
        <f t="shared" ca="1" si="30"/>
        <v>-0.19223701829234408</v>
      </c>
      <c r="F191" s="42">
        <v>0.5</v>
      </c>
      <c r="G191" s="43">
        <f t="shared" ca="1" si="31"/>
        <v>7.9103118758579809</v>
      </c>
      <c r="H191" s="42">
        <f t="shared" ca="1" si="32"/>
        <v>-0.23269837603941212</v>
      </c>
      <c r="I191" s="42">
        <v>0.5</v>
      </c>
      <c r="J191" s="43">
        <f t="shared" ca="1" si="33"/>
        <v>3.9257613716197204</v>
      </c>
      <c r="K191" s="43">
        <f t="shared" ca="1" si="34"/>
        <v>-95.98093329250031</v>
      </c>
      <c r="L191" s="42">
        <f t="shared" si="26"/>
        <v>2.0233769276448583E-9</v>
      </c>
      <c r="M191" s="42">
        <f ca="1">K191-D191</f>
        <v>1.5478759182087742E-2</v>
      </c>
      <c r="N191" s="42">
        <f t="shared" ca="1" si="35"/>
        <v>7649963.2720950767</v>
      </c>
      <c r="O191" s="42">
        <f t="shared" ca="1" si="36"/>
        <v>0</v>
      </c>
      <c r="P191" s="42">
        <f t="shared" ca="1" si="37"/>
        <v>5.2853384973110429E-2</v>
      </c>
      <c r="Q191" s="44">
        <f ca="1">IF(M191&lt;0,G191,IF(P191&lt;O191,G191,B191))</f>
        <v>8.0064303850041529</v>
      </c>
      <c r="R191" s="44">
        <f ca="1">IF(N191&lt;0,J191,IF(P191&lt;O191,J191,C191))</f>
        <v>4.0421105596394264</v>
      </c>
      <c r="S191" s="44">
        <f t="shared" ca="1" si="38"/>
        <v>-95.996412051682398</v>
      </c>
    </row>
    <row r="192" spans="1:19" x14ac:dyDescent="0.4">
      <c r="A192" s="42">
        <v>191</v>
      </c>
      <c r="B192" s="41">
        <f t="shared" ca="1" si="27"/>
        <v>8.0064303850041529</v>
      </c>
      <c r="C192" s="41">
        <f t="shared" ca="1" si="28"/>
        <v>4.0421105596394264</v>
      </c>
      <c r="D192" s="41">
        <f t="shared" ca="1" si="29"/>
        <v>-95.996412051682398</v>
      </c>
      <c r="E192" s="42">
        <f t="shared" ca="1" si="30"/>
        <v>-0.58478797750647682</v>
      </c>
      <c r="F192" s="42">
        <v>0.5</v>
      </c>
      <c r="G192" s="43">
        <f t="shared" ca="1" si="31"/>
        <v>7.7140363962509149</v>
      </c>
      <c r="H192" s="42">
        <f t="shared" ca="1" si="32"/>
        <v>-0.19021512707732824</v>
      </c>
      <c r="I192" s="42">
        <v>0.5</v>
      </c>
      <c r="J192" s="43">
        <f t="shared" ca="1" si="33"/>
        <v>3.9470029961007622</v>
      </c>
      <c r="K192" s="43">
        <f t="shared" ca="1" si="34"/>
        <v>-95.912607452486242</v>
      </c>
      <c r="L192" s="42">
        <f t="shared" si="26"/>
        <v>1.8210392348803725E-9</v>
      </c>
      <c r="M192" s="42">
        <f ca="1">K192-D192</f>
        <v>8.380459919615646E-2</v>
      </c>
      <c r="N192" s="42">
        <f t="shared" ca="1" si="35"/>
        <v>46020205.161401555</v>
      </c>
      <c r="O192" s="42">
        <f t="shared" ca="1" si="36"/>
        <v>0</v>
      </c>
      <c r="P192" s="42">
        <f t="shared" ca="1" si="37"/>
        <v>0.54225992608170859</v>
      </c>
      <c r="Q192" s="44">
        <f ca="1">IF(M192&lt;0,G192,IF(P192&lt;O192,G192,B192))</f>
        <v>8.0064303850041529</v>
      </c>
      <c r="R192" s="44">
        <f ca="1">IF(N192&lt;0,J192,IF(P192&lt;O192,J192,C192))</f>
        <v>4.0421105596394264</v>
      </c>
      <c r="S192" s="44">
        <f t="shared" ca="1" si="38"/>
        <v>-95.996412051682398</v>
      </c>
    </row>
    <row r="193" spans="1:19" x14ac:dyDescent="0.4">
      <c r="A193" s="42">
        <v>192</v>
      </c>
      <c r="B193" s="41">
        <f t="shared" ca="1" si="27"/>
        <v>8.0064303850041529</v>
      </c>
      <c r="C193" s="41">
        <f t="shared" ca="1" si="28"/>
        <v>4.0421105596394264</v>
      </c>
      <c r="D193" s="41">
        <f t="shared" ca="1" si="29"/>
        <v>-95.996412051682398</v>
      </c>
      <c r="E193" s="42">
        <f t="shared" ca="1" si="30"/>
        <v>0.48094253631383488</v>
      </c>
      <c r="F193" s="42">
        <v>0.5</v>
      </c>
      <c r="G193" s="43">
        <f t="shared" ca="1" si="31"/>
        <v>8.2469016531610713</v>
      </c>
      <c r="H193" s="42">
        <f t="shared" ca="1" si="32"/>
        <v>0.10824964689867267</v>
      </c>
      <c r="I193" s="42">
        <v>0.5</v>
      </c>
      <c r="J193" s="43">
        <f t="shared" ca="1" si="33"/>
        <v>4.0962353830887626</v>
      </c>
      <c r="K193" s="43">
        <f t="shared" ca="1" si="34"/>
        <v>-95.920517075749856</v>
      </c>
      <c r="L193" s="42">
        <f t="shared" si="26"/>
        <v>1.6389353113923353E-9</v>
      </c>
      <c r="M193" s="42">
        <f ca="1">K193-D193</f>
        <v>7.5894975932541797E-2</v>
      </c>
      <c r="N193" s="42">
        <f t="shared" ca="1" si="35"/>
        <v>46307487.186950803</v>
      </c>
      <c r="O193" s="42">
        <f t="shared" ca="1" si="36"/>
        <v>0</v>
      </c>
      <c r="P193" s="42">
        <f t="shared" ca="1" si="37"/>
        <v>0.59608192653335546</v>
      </c>
      <c r="Q193" s="44">
        <f ca="1">IF(M193&lt;0,G193,IF(P193&lt;O193,G193,B193))</f>
        <v>8.0064303850041529</v>
      </c>
      <c r="R193" s="44">
        <f ca="1">IF(N193&lt;0,J193,IF(P193&lt;O193,J193,C193))</f>
        <v>4.0421105596394264</v>
      </c>
      <c r="S193" s="44">
        <f t="shared" ca="1" si="38"/>
        <v>-95.996412051682398</v>
      </c>
    </row>
    <row r="194" spans="1:19" x14ac:dyDescent="0.4">
      <c r="A194" s="42">
        <v>193</v>
      </c>
      <c r="B194" s="41">
        <f t="shared" ca="1" si="27"/>
        <v>8.0064303850041529</v>
      </c>
      <c r="C194" s="41">
        <f t="shared" ca="1" si="28"/>
        <v>4.0421105596394264</v>
      </c>
      <c r="D194" s="41">
        <f t="shared" ca="1" si="29"/>
        <v>-95.996412051682398</v>
      </c>
      <c r="E194" s="42">
        <f t="shared" ca="1" si="30"/>
        <v>-7.8154808227766104E-3</v>
      </c>
      <c r="F194" s="42">
        <v>0.5</v>
      </c>
      <c r="G194" s="43">
        <f t="shared" ca="1" si="31"/>
        <v>8.002522644592764</v>
      </c>
      <c r="H194" s="42">
        <f t="shared" ca="1" si="32"/>
        <v>0.34606087247733841</v>
      </c>
      <c r="I194" s="42">
        <v>0.5</v>
      </c>
      <c r="J194" s="43">
        <f t="shared" ca="1" si="33"/>
        <v>4.2151409958780954</v>
      </c>
      <c r="K194" s="43">
        <f t="shared" ca="1" si="34"/>
        <v>-95.907422340049436</v>
      </c>
      <c r="L194" s="42">
        <f t="shared" si="26"/>
        <v>1.4750417802531019E-9</v>
      </c>
      <c r="M194" s="42">
        <f ca="1">K194-D194</f>
        <v>8.8989711632962099E-2</v>
      </c>
      <c r="N194" s="42">
        <f t="shared" ca="1" si="35"/>
        <v>60330298.995118894</v>
      </c>
      <c r="O194" s="42">
        <f t="shared" ca="1" si="36"/>
        <v>0</v>
      </c>
      <c r="P194" s="42">
        <f t="shared" ca="1" si="37"/>
        <v>0.33374490329010187</v>
      </c>
      <c r="Q194" s="44">
        <f ca="1">IF(M194&lt;0,G194,IF(P194&lt;O194,G194,B194))</f>
        <v>8.0064303850041529</v>
      </c>
      <c r="R194" s="44">
        <f ca="1">IF(N194&lt;0,J194,IF(P194&lt;O194,J194,C194))</f>
        <v>4.0421105596394264</v>
      </c>
      <c r="S194" s="44">
        <f t="shared" ca="1" si="38"/>
        <v>-95.996412051682398</v>
      </c>
    </row>
    <row r="195" spans="1:19" x14ac:dyDescent="0.4">
      <c r="A195" s="42">
        <v>194</v>
      </c>
      <c r="B195" s="41">
        <f t="shared" ca="1" si="27"/>
        <v>8.0064303850041529</v>
      </c>
      <c r="C195" s="41">
        <f t="shared" ca="1" si="28"/>
        <v>4.0421105596394264</v>
      </c>
      <c r="D195" s="41">
        <f t="shared" ca="1" si="29"/>
        <v>-95.996412051682398</v>
      </c>
      <c r="E195" s="42">
        <f t="shared" ca="1" si="30"/>
        <v>7.9986228684765459E-2</v>
      </c>
      <c r="F195" s="42">
        <v>0.5</v>
      </c>
      <c r="G195" s="43">
        <f t="shared" ca="1" si="31"/>
        <v>8.0464234993465364</v>
      </c>
      <c r="H195" s="42">
        <f t="shared" ca="1" si="32"/>
        <v>-0.3632190192593403</v>
      </c>
      <c r="I195" s="42">
        <v>0.5</v>
      </c>
      <c r="J195" s="43">
        <f t="shared" ca="1" si="33"/>
        <v>3.8605010500097565</v>
      </c>
      <c r="K195" s="43">
        <f t="shared" ca="1" si="34"/>
        <v>-95.958924944611653</v>
      </c>
      <c r="L195" s="42">
        <f t="shared" ref="L195:L258" si="39">(0.9^A195)*1</f>
        <v>1.3275376022277918E-9</v>
      </c>
      <c r="M195" s="42">
        <f ca="1">K195-D195</f>
        <v>3.7487107070745651E-2</v>
      </c>
      <c r="N195" s="42">
        <f t="shared" ca="1" si="35"/>
        <v>28238075.522559285</v>
      </c>
      <c r="O195" s="42">
        <f t="shared" ca="1" si="36"/>
        <v>0</v>
      </c>
      <c r="P195" s="42">
        <f t="shared" ca="1" si="37"/>
        <v>0.71787711047705549</v>
      </c>
      <c r="Q195" s="44">
        <f ca="1">IF(M195&lt;0,G195,IF(P195&lt;O195,G195,B195))</f>
        <v>8.0064303850041529</v>
      </c>
      <c r="R195" s="44">
        <f ca="1">IF(N195&lt;0,J195,IF(P195&lt;O195,J195,C195))</f>
        <v>4.0421105596394264</v>
      </c>
      <c r="S195" s="44">
        <f t="shared" ca="1" si="38"/>
        <v>-95.996412051682398</v>
      </c>
    </row>
    <row r="196" spans="1:19" x14ac:dyDescent="0.4">
      <c r="A196" s="42">
        <v>195</v>
      </c>
      <c r="B196" s="41">
        <f t="shared" ref="B196:B259" ca="1" si="40">Q195</f>
        <v>8.0064303850041529</v>
      </c>
      <c r="C196" s="41">
        <f t="shared" ref="C196:C259" ca="1" si="41">R195</f>
        <v>4.0421105596394264</v>
      </c>
      <c r="D196" s="41">
        <f t="shared" ref="D196:D259" ca="1" si="42">S195</f>
        <v>-95.996412051682398</v>
      </c>
      <c r="E196" s="42">
        <f t="shared" ref="E196:E259" ca="1" si="43">2*(RAND()-0.5)</f>
        <v>0.21076883737804208</v>
      </c>
      <c r="F196" s="42">
        <v>0.5</v>
      </c>
      <c r="G196" s="43">
        <f t="shared" ref="G196:G259" ca="1" si="44">B196+E196*F196</f>
        <v>8.1118148036931732</v>
      </c>
      <c r="H196" s="42">
        <f t="shared" ref="H196:H259" ca="1" si="45">2*(RAND()-0.5)</f>
        <v>0.31202423596797968</v>
      </c>
      <c r="I196" s="42">
        <v>0.5</v>
      </c>
      <c r="J196" s="43">
        <f t="shared" ref="J196:J259" ca="1" si="46">C196+H196*I196</f>
        <v>4.1981226776234166</v>
      </c>
      <c r="K196" s="43">
        <f t="shared" ref="K196:K259" ca="1" si="47">G196^2-16*G196+2*J196^2-16*J196</f>
        <v>-95.908992258897712</v>
      </c>
      <c r="L196" s="42">
        <f t="shared" si="39"/>
        <v>1.1947838420050126E-9</v>
      </c>
      <c r="M196" s="42">
        <f ca="1">K196-D196</f>
        <v>8.7419792784686479E-2</v>
      </c>
      <c r="N196" s="42">
        <f t="shared" ref="N196:N259" ca="1" si="48">M196/L196</f>
        <v>73167873.310023993</v>
      </c>
      <c r="O196" s="42">
        <f t="shared" ref="O196:O259" ca="1" si="49">IF(M196&lt;0,1,EXP(-N196))</f>
        <v>0</v>
      </c>
      <c r="P196" s="42">
        <f t="shared" ref="P196:P259" ca="1" si="50">RAND()</f>
        <v>0.50520339826839089</v>
      </c>
      <c r="Q196" s="44">
        <f ca="1">IF(M196&lt;0,G196,IF(P196&lt;O196,G196,B196))</f>
        <v>8.0064303850041529</v>
      </c>
      <c r="R196" s="44">
        <f ca="1">IF(N196&lt;0,J196,IF(P196&lt;O196,J196,C196))</f>
        <v>4.0421105596394264</v>
      </c>
      <c r="S196" s="44">
        <f t="shared" ref="S196:S259" ca="1" si="51">Q196^2-16*Q196+2*R196^2-16*R196</f>
        <v>-95.996412051682398</v>
      </c>
    </row>
    <row r="197" spans="1:19" x14ac:dyDescent="0.4">
      <c r="A197" s="42">
        <v>196</v>
      </c>
      <c r="B197" s="41">
        <f t="shared" ca="1" si="40"/>
        <v>8.0064303850041529</v>
      </c>
      <c r="C197" s="41">
        <f t="shared" ca="1" si="41"/>
        <v>4.0421105596394264</v>
      </c>
      <c r="D197" s="41">
        <f t="shared" ca="1" si="42"/>
        <v>-95.996412051682398</v>
      </c>
      <c r="E197" s="42">
        <f t="shared" ca="1" si="43"/>
        <v>-0.59838301382422743</v>
      </c>
      <c r="F197" s="42">
        <v>0.5</v>
      </c>
      <c r="G197" s="43">
        <f t="shared" ca="1" si="44"/>
        <v>7.7072388780920393</v>
      </c>
      <c r="H197" s="42">
        <f t="shared" ca="1" si="45"/>
        <v>0.7018770799249221</v>
      </c>
      <c r="I197" s="42">
        <v>0.5</v>
      </c>
      <c r="J197" s="43">
        <f t="shared" ca="1" si="46"/>
        <v>4.3930490996018872</v>
      </c>
      <c r="K197" s="43">
        <f t="shared" ca="1" si="47"/>
        <v>-95.605315736103478</v>
      </c>
      <c r="L197" s="42">
        <f t="shared" si="39"/>
        <v>1.0753054578045114E-9</v>
      </c>
      <c r="M197" s="42">
        <f ca="1">K197-D197</f>
        <v>0.39109631557892044</v>
      </c>
      <c r="N197" s="42">
        <f t="shared" ca="1" si="48"/>
        <v>363707179.89048004</v>
      </c>
      <c r="O197" s="42">
        <f t="shared" ca="1" si="49"/>
        <v>0</v>
      </c>
      <c r="P197" s="42">
        <f t="shared" ca="1" si="50"/>
        <v>0.6437617163767948</v>
      </c>
      <c r="Q197" s="44">
        <f ca="1">IF(M197&lt;0,G197,IF(P197&lt;O197,G197,B197))</f>
        <v>8.0064303850041529</v>
      </c>
      <c r="R197" s="44">
        <f ca="1">IF(N197&lt;0,J197,IF(P197&lt;O197,J197,C197))</f>
        <v>4.0421105596394264</v>
      </c>
      <c r="S197" s="44">
        <f t="shared" ca="1" si="51"/>
        <v>-95.996412051682398</v>
      </c>
    </row>
    <row r="198" spans="1:19" x14ac:dyDescent="0.4">
      <c r="A198" s="42">
        <v>197</v>
      </c>
      <c r="B198" s="41">
        <f t="shared" ca="1" si="40"/>
        <v>8.0064303850041529</v>
      </c>
      <c r="C198" s="41">
        <f t="shared" ca="1" si="41"/>
        <v>4.0421105596394264</v>
      </c>
      <c r="D198" s="41">
        <f t="shared" ca="1" si="42"/>
        <v>-95.996412051682398</v>
      </c>
      <c r="E198" s="42">
        <f t="shared" ca="1" si="43"/>
        <v>-0.29480701473576731</v>
      </c>
      <c r="F198" s="42">
        <v>0.5</v>
      </c>
      <c r="G198" s="43">
        <f t="shared" ca="1" si="44"/>
        <v>7.8590268776362695</v>
      </c>
      <c r="H198" s="42">
        <f t="shared" ca="1" si="45"/>
        <v>-0.30643394668393675</v>
      </c>
      <c r="I198" s="42">
        <v>0.5</v>
      </c>
      <c r="J198" s="43">
        <f t="shared" ca="1" si="46"/>
        <v>3.8888935862974581</v>
      </c>
      <c r="K198" s="43">
        <f t="shared" ca="1" si="47"/>
        <v>-95.955437308439343</v>
      </c>
      <c r="L198" s="42">
        <f t="shared" si="39"/>
        <v>9.6777491202406031E-10</v>
      </c>
      <c r="M198" s="42">
        <f ca="1">K198-D198</f>
        <v>4.0974743243054945E-2</v>
      </c>
      <c r="N198" s="42">
        <f t="shared" ca="1" si="48"/>
        <v>42339125.280028187</v>
      </c>
      <c r="O198" s="42">
        <f t="shared" ca="1" si="49"/>
        <v>0</v>
      </c>
      <c r="P198" s="42">
        <f t="shared" ca="1" si="50"/>
        <v>6.7126804242179205E-2</v>
      </c>
      <c r="Q198" s="44">
        <f ca="1">IF(M198&lt;0,G198,IF(P198&lt;O198,G198,B198))</f>
        <v>8.0064303850041529</v>
      </c>
      <c r="R198" s="44">
        <f ca="1">IF(N198&lt;0,J198,IF(P198&lt;O198,J198,C198))</f>
        <v>4.0421105596394264</v>
      </c>
      <c r="S198" s="44">
        <f t="shared" ca="1" si="51"/>
        <v>-95.996412051682398</v>
      </c>
    </row>
    <row r="199" spans="1:19" x14ac:dyDescent="0.4">
      <c r="A199" s="42">
        <v>198</v>
      </c>
      <c r="B199" s="41">
        <f t="shared" ca="1" si="40"/>
        <v>8.0064303850041529</v>
      </c>
      <c r="C199" s="41">
        <f t="shared" ca="1" si="41"/>
        <v>4.0421105596394264</v>
      </c>
      <c r="D199" s="41">
        <f t="shared" ca="1" si="42"/>
        <v>-95.996412051682398</v>
      </c>
      <c r="E199" s="42">
        <f t="shared" ca="1" si="43"/>
        <v>6.9655843325412636E-2</v>
      </c>
      <c r="F199" s="42">
        <v>0.5</v>
      </c>
      <c r="G199" s="43">
        <f t="shared" ca="1" si="44"/>
        <v>8.0412583066668599</v>
      </c>
      <c r="H199" s="42">
        <f t="shared" ca="1" si="45"/>
        <v>0.14176023603063514</v>
      </c>
      <c r="I199" s="42">
        <v>0.5</v>
      </c>
      <c r="J199" s="43">
        <f t="shared" ca="1" si="46"/>
        <v>4.1129906776547438</v>
      </c>
      <c r="K199" s="43">
        <f t="shared" ca="1" si="47"/>
        <v>-95.972763965657222</v>
      </c>
      <c r="L199" s="42">
        <f t="shared" si="39"/>
        <v>8.709974208216543E-10</v>
      </c>
      <c r="M199" s="42">
        <f ca="1">K199-D199</f>
        <v>2.3648086025175985E-2</v>
      </c>
      <c r="N199" s="42">
        <f t="shared" ca="1" si="48"/>
        <v>27150581.000420865</v>
      </c>
      <c r="O199" s="42">
        <f t="shared" ca="1" si="49"/>
        <v>0</v>
      </c>
      <c r="P199" s="42">
        <f t="shared" ca="1" si="50"/>
        <v>0.37598895624162176</v>
      </c>
      <c r="Q199" s="44">
        <f ca="1">IF(M199&lt;0,G199,IF(P199&lt;O199,G199,B199))</f>
        <v>8.0064303850041529</v>
      </c>
      <c r="R199" s="44">
        <f ca="1">IF(N199&lt;0,J199,IF(P199&lt;O199,J199,C199))</f>
        <v>4.0421105596394264</v>
      </c>
      <c r="S199" s="44">
        <f t="shared" ca="1" si="51"/>
        <v>-95.996412051682398</v>
      </c>
    </row>
    <row r="200" spans="1:19" x14ac:dyDescent="0.4">
      <c r="A200" s="42">
        <v>199</v>
      </c>
      <c r="B200" s="41">
        <f t="shared" ca="1" si="40"/>
        <v>8.0064303850041529</v>
      </c>
      <c r="C200" s="41">
        <f t="shared" ca="1" si="41"/>
        <v>4.0421105596394264</v>
      </c>
      <c r="D200" s="41">
        <f t="shared" ca="1" si="42"/>
        <v>-95.996412051682398</v>
      </c>
      <c r="E200" s="42">
        <f t="shared" ca="1" si="43"/>
        <v>0.28775789392497386</v>
      </c>
      <c r="F200" s="42">
        <v>0.5</v>
      </c>
      <c r="G200" s="43">
        <f t="shared" ca="1" si="44"/>
        <v>8.1503093319666391</v>
      </c>
      <c r="H200" s="42">
        <f t="shared" ca="1" si="45"/>
        <v>0.8673325282556803</v>
      </c>
      <c r="I200" s="42">
        <v>0.5</v>
      </c>
      <c r="J200" s="43">
        <f t="shared" ca="1" si="46"/>
        <v>4.4757768237672666</v>
      </c>
      <c r="K200" s="43">
        <f t="shared" ca="1" si="47"/>
        <v>-95.524679932655602</v>
      </c>
      <c r="L200" s="42">
        <f t="shared" si="39"/>
        <v>7.8389767873948889E-10</v>
      </c>
      <c r="M200" s="42">
        <f ca="1">K200-D200</f>
        <v>0.47173211902679668</v>
      </c>
      <c r="N200" s="42">
        <f t="shared" ca="1" si="48"/>
        <v>601777670.50585496</v>
      </c>
      <c r="O200" s="42">
        <f t="shared" ca="1" si="49"/>
        <v>0</v>
      </c>
      <c r="P200" s="42">
        <f t="shared" ca="1" si="50"/>
        <v>0.75125576642600878</v>
      </c>
      <c r="Q200" s="44">
        <f ca="1">IF(M200&lt;0,G200,IF(P200&lt;O200,G200,B200))</f>
        <v>8.0064303850041529</v>
      </c>
      <c r="R200" s="44">
        <f ca="1">IF(N200&lt;0,J200,IF(P200&lt;O200,J200,C200))</f>
        <v>4.0421105596394264</v>
      </c>
      <c r="S200" s="44">
        <f t="shared" ca="1" si="51"/>
        <v>-95.996412051682398</v>
      </c>
    </row>
    <row r="201" spans="1:19" x14ac:dyDescent="0.4">
      <c r="A201" s="42">
        <v>200</v>
      </c>
      <c r="B201" s="41">
        <f t="shared" ca="1" si="40"/>
        <v>8.0064303850041529</v>
      </c>
      <c r="C201" s="41">
        <f t="shared" ca="1" si="41"/>
        <v>4.0421105596394264</v>
      </c>
      <c r="D201" s="41">
        <f t="shared" ca="1" si="42"/>
        <v>-95.996412051682398</v>
      </c>
      <c r="E201" s="42">
        <f t="shared" ca="1" si="43"/>
        <v>-0.63561534602213277</v>
      </c>
      <c r="F201" s="42">
        <v>0.5</v>
      </c>
      <c r="G201" s="43">
        <f t="shared" ca="1" si="44"/>
        <v>7.6886227119930863</v>
      </c>
      <c r="H201" s="42">
        <f t="shared" ca="1" si="45"/>
        <v>0.87495700583599212</v>
      </c>
      <c r="I201" s="42">
        <v>0.5</v>
      </c>
      <c r="J201" s="43">
        <f t="shared" ca="1" si="46"/>
        <v>4.4795890625574222</v>
      </c>
      <c r="K201" s="43">
        <f t="shared" ca="1" si="47"/>
        <v>-95.443032846664039</v>
      </c>
      <c r="L201" s="42">
        <f t="shared" si="39"/>
        <v>7.0550791086554005E-10</v>
      </c>
      <c r="M201" s="42">
        <f ca="1">K201-D201</f>
        <v>0.55337920501835924</v>
      </c>
      <c r="N201" s="42">
        <f t="shared" ca="1" si="48"/>
        <v>784369950.35173404</v>
      </c>
      <c r="O201" s="42">
        <f t="shared" ca="1" si="49"/>
        <v>0</v>
      </c>
      <c r="P201" s="42">
        <f t="shared" ca="1" si="50"/>
        <v>8.6757110049688335E-2</v>
      </c>
      <c r="Q201" s="44">
        <f ca="1">IF(M201&lt;0,G201,IF(P201&lt;O201,G201,B201))</f>
        <v>8.0064303850041529</v>
      </c>
      <c r="R201" s="44">
        <f ca="1">IF(N201&lt;0,J201,IF(P201&lt;O201,J201,C201))</f>
        <v>4.0421105596394264</v>
      </c>
      <c r="S201" s="44">
        <f t="shared" ca="1" si="51"/>
        <v>-95.996412051682398</v>
      </c>
    </row>
    <row r="202" spans="1:19" x14ac:dyDescent="0.4">
      <c r="A202" s="42">
        <v>201</v>
      </c>
      <c r="B202" s="41">
        <f t="shared" ca="1" si="40"/>
        <v>8.0064303850041529</v>
      </c>
      <c r="C202" s="41">
        <f t="shared" ca="1" si="41"/>
        <v>4.0421105596394264</v>
      </c>
      <c r="D202" s="41">
        <f t="shared" ca="1" si="42"/>
        <v>-95.996412051682398</v>
      </c>
      <c r="E202" s="42">
        <f t="shared" ca="1" si="43"/>
        <v>0.42369147747229952</v>
      </c>
      <c r="F202" s="42">
        <v>0.5</v>
      </c>
      <c r="G202" s="43">
        <f t="shared" ca="1" si="44"/>
        <v>8.2182761237403028</v>
      </c>
      <c r="H202" s="42">
        <f t="shared" ca="1" si="45"/>
        <v>-0.74090241377711097</v>
      </c>
      <c r="I202" s="42">
        <v>0.5</v>
      </c>
      <c r="J202" s="43">
        <f t="shared" ca="1" si="46"/>
        <v>3.6716593527508712</v>
      </c>
      <c r="K202" s="43">
        <f t="shared" ca="1" si="47"/>
        <v>-95.73674037253295</v>
      </c>
      <c r="L202" s="42">
        <f t="shared" si="39"/>
        <v>6.3495711977898607E-10</v>
      </c>
      <c r="M202" s="42">
        <f ca="1">K202-D202</f>
        <v>0.25967167914944866</v>
      </c>
      <c r="N202" s="42">
        <f t="shared" ca="1" si="48"/>
        <v>408959394.36010164</v>
      </c>
      <c r="O202" s="42">
        <f t="shared" ca="1" si="49"/>
        <v>0</v>
      </c>
      <c r="P202" s="42">
        <f t="shared" ca="1" si="50"/>
        <v>0.4527909810399956</v>
      </c>
      <c r="Q202" s="44">
        <f ca="1">IF(M202&lt;0,G202,IF(P202&lt;O202,G202,B202))</f>
        <v>8.0064303850041529</v>
      </c>
      <c r="R202" s="44">
        <f ca="1">IF(N202&lt;0,J202,IF(P202&lt;O202,J202,C202))</f>
        <v>4.0421105596394264</v>
      </c>
      <c r="S202" s="44">
        <f t="shared" ca="1" si="51"/>
        <v>-95.996412051682398</v>
      </c>
    </row>
    <row r="203" spans="1:19" x14ac:dyDescent="0.4">
      <c r="A203" s="42">
        <v>202</v>
      </c>
      <c r="B203" s="41">
        <f t="shared" ca="1" si="40"/>
        <v>8.0064303850041529</v>
      </c>
      <c r="C203" s="41">
        <f t="shared" ca="1" si="41"/>
        <v>4.0421105596394264</v>
      </c>
      <c r="D203" s="41">
        <f t="shared" ca="1" si="42"/>
        <v>-95.996412051682398</v>
      </c>
      <c r="E203" s="42">
        <f t="shared" ca="1" si="43"/>
        <v>-0.54678482402255923</v>
      </c>
      <c r="F203" s="42">
        <v>0.5</v>
      </c>
      <c r="G203" s="43">
        <f t="shared" ca="1" si="44"/>
        <v>7.7330379729928733</v>
      </c>
      <c r="H203" s="42">
        <f t="shared" ca="1" si="45"/>
        <v>0.81888358138261452</v>
      </c>
      <c r="I203" s="42">
        <v>0.5</v>
      </c>
      <c r="J203" s="43">
        <f t="shared" ca="1" si="46"/>
        <v>4.4515523503307337</v>
      </c>
      <c r="K203" s="43">
        <f t="shared" ca="1" si="47"/>
        <v>-95.520932225957836</v>
      </c>
      <c r="L203" s="42">
        <f t="shared" si="39"/>
        <v>5.7146140780108756E-10</v>
      </c>
      <c r="M203" s="42">
        <f ca="1">K203-D203</f>
        <v>0.47547982572456249</v>
      </c>
      <c r="N203" s="42">
        <f t="shared" ca="1" si="48"/>
        <v>832041882.85285914</v>
      </c>
      <c r="O203" s="42">
        <f t="shared" ca="1" si="49"/>
        <v>0</v>
      </c>
      <c r="P203" s="42">
        <f t="shared" ca="1" si="50"/>
        <v>0.97207893067212459</v>
      </c>
      <c r="Q203" s="44">
        <f ca="1">IF(M203&lt;0,G203,IF(P203&lt;O203,G203,B203))</f>
        <v>8.0064303850041529</v>
      </c>
      <c r="R203" s="44">
        <f ca="1">IF(N203&lt;0,J203,IF(P203&lt;O203,J203,C203))</f>
        <v>4.0421105596394264</v>
      </c>
      <c r="S203" s="44">
        <f t="shared" ca="1" si="51"/>
        <v>-95.996412051682398</v>
      </c>
    </row>
    <row r="204" spans="1:19" x14ac:dyDescent="0.4">
      <c r="A204" s="42">
        <v>203</v>
      </c>
      <c r="B204" s="41">
        <f t="shared" ca="1" si="40"/>
        <v>8.0064303850041529</v>
      </c>
      <c r="C204" s="41">
        <f t="shared" ca="1" si="41"/>
        <v>4.0421105596394264</v>
      </c>
      <c r="D204" s="41">
        <f t="shared" ca="1" si="42"/>
        <v>-95.996412051682398</v>
      </c>
      <c r="E204" s="42">
        <f t="shared" ca="1" si="43"/>
        <v>-0.48765859619600471</v>
      </c>
      <c r="F204" s="42">
        <v>0.5</v>
      </c>
      <c r="G204" s="43">
        <f t="shared" ca="1" si="44"/>
        <v>7.7626010869061508</v>
      </c>
      <c r="H204" s="42">
        <f t="shared" ca="1" si="45"/>
        <v>-0.39723263832806666</v>
      </c>
      <c r="I204" s="42">
        <v>0.5</v>
      </c>
      <c r="J204" s="43">
        <f t="shared" ca="1" si="46"/>
        <v>3.8434942404753931</v>
      </c>
      <c r="K204" s="43">
        <f t="shared" ca="1" si="47"/>
        <v>-95.894653650533115</v>
      </c>
      <c r="L204" s="42">
        <f t="shared" si="39"/>
        <v>5.1431526702097888E-10</v>
      </c>
      <c r="M204" s="42">
        <f ca="1">K204-D204</f>
        <v>0.10175840114928292</v>
      </c>
      <c r="N204" s="42">
        <f t="shared" ca="1" si="48"/>
        <v>197852188.48098513</v>
      </c>
      <c r="O204" s="42">
        <f t="shared" ca="1" si="49"/>
        <v>0</v>
      </c>
      <c r="P204" s="42">
        <f t="shared" ca="1" si="50"/>
        <v>0.98804191131141827</v>
      </c>
      <c r="Q204" s="44">
        <f ca="1">IF(M204&lt;0,G204,IF(P204&lt;O204,G204,B204))</f>
        <v>8.0064303850041529</v>
      </c>
      <c r="R204" s="44">
        <f ca="1">IF(N204&lt;0,J204,IF(P204&lt;O204,J204,C204))</f>
        <v>4.0421105596394264</v>
      </c>
      <c r="S204" s="44">
        <f t="shared" ca="1" si="51"/>
        <v>-95.996412051682398</v>
      </c>
    </row>
    <row r="205" spans="1:19" x14ac:dyDescent="0.4">
      <c r="A205" s="42">
        <v>204</v>
      </c>
      <c r="B205" s="41">
        <f t="shared" ca="1" si="40"/>
        <v>8.0064303850041529</v>
      </c>
      <c r="C205" s="41">
        <f t="shared" ca="1" si="41"/>
        <v>4.0421105596394264</v>
      </c>
      <c r="D205" s="41">
        <f t="shared" ca="1" si="42"/>
        <v>-95.996412051682398</v>
      </c>
      <c r="E205" s="42">
        <f t="shared" ca="1" si="43"/>
        <v>-0.26007008535305576</v>
      </c>
      <c r="F205" s="42">
        <v>0.5</v>
      </c>
      <c r="G205" s="43">
        <f t="shared" ca="1" si="44"/>
        <v>7.8763953423276254</v>
      </c>
      <c r="H205" s="42">
        <f t="shared" ca="1" si="45"/>
        <v>0.81440937012327308</v>
      </c>
      <c r="I205" s="42">
        <v>0.5</v>
      </c>
      <c r="J205" s="43">
        <f t="shared" ca="1" si="46"/>
        <v>4.4493152447010633</v>
      </c>
      <c r="K205" s="43">
        <f t="shared" ca="1" si="47"/>
        <v>-95.580953510360146</v>
      </c>
      <c r="L205" s="42">
        <f t="shared" si="39"/>
        <v>4.6288374031888094E-10</v>
      </c>
      <c r="M205" s="42">
        <f ca="1">K205-D205</f>
        <v>0.41545854132225202</v>
      </c>
      <c r="N205" s="42">
        <f t="shared" ca="1" si="48"/>
        <v>897544037.80967188</v>
      </c>
      <c r="O205" s="42">
        <f t="shared" ca="1" si="49"/>
        <v>0</v>
      </c>
      <c r="P205" s="42">
        <f t="shared" ca="1" si="50"/>
        <v>0.81401180720562294</v>
      </c>
      <c r="Q205" s="44">
        <f ca="1">IF(M205&lt;0,G205,IF(P205&lt;O205,G205,B205))</f>
        <v>8.0064303850041529</v>
      </c>
      <c r="R205" s="44">
        <f ca="1">IF(N205&lt;0,J205,IF(P205&lt;O205,J205,C205))</f>
        <v>4.0421105596394264</v>
      </c>
      <c r="S205" s="44">
        <f t="shared" ca="1" si="51"/>
        <v>-95.996412051682398</v>
      </c>
    </row>
    <row r="206" spans="1:19" x14ac:dyDescent="0.4">
      <c r="A206" s="42">
        <v>205</v>
      </c>
      <c r="B206" s="41">
        <f t="shared" ca="1" si="40"/>
        <v>8.0064303850041529</v>
      </c>
      <c r="C206" s="41">
        <f t="shared" ca="1" si="41"/>
        <v>4.0421105596394264</v>
      </c>
      <c r="D206" s="41">
        <f t="shared" ca="1" si="42"/>
        <v>-95.996412051682398</v>
      </c>
      <c r="E206" s="42">
        <f t="shared" ca="1" si="43"/>
        <v>0.83302695226085355</v>
      </c>
      <c r="F206" s="42">
        <v>0.5</v>
      </c>
      <c r="G206" s="43">
        <f t="shared" ca="1" si="44"/>
        <v>8.4229438611345806</v>
      </c>
      <c r="H206" s="42">
        <f t="shared" ca="1" si="45"/>
        <v>2.9619475759410152E-2</v>
      </c>
      <c r="I206" s="42">
        <v>0.5</v>
      </c>
      <c r="J206" s="43">
        <f t="shared" ca="1" si="46"/>
        <v>4.0569202975191319</v>
      </c>
      <c r="K206" s="43">
        <f t="shared" ca="1" si="47"/>
        <v>-95.814638649789231</v>
      </c>
      <c r="L206" s="42">
        <f t="shared" si="39"/>
        <v>4.1659536628699291E-10</v>
      </c>
      <c r="M206" s="42">
        <f ca="1">K206-D206</f>
        <v>0.18177340189316737</v>
      </c>
      <c r="N206" s="42">
        <f t="shared" ca="1" si="48"/>
        <v>436330829.8728016</v>
      </c>
      <c r="O206" s="42">
        <f t="shared" ca="1" si="49"/>
        <v>0</v>
      </c>
      <c r="P206" s="42">
        <f t="shared" ca="1" si="50"/>
        <v>0.77620875651026677</v>
      </c>
      <c r="Q206" s="44">
        <f ca="1">IF(M206&lt;0,G206,IF(P206&lt;O206,G206,B206))</f>
        <v>8.0064303850041529</v>
      </c>
      <c r="R206" s="44">
        <f ca="1">IF(N206&lt;0,J206,IF(P206&lt;O206,J206,C206))</f>
        <v>4.0421105596394264</v>
      </c>
      <c r="S206" s="44">
        <f t="shared" ca="1" si="51"/>
        <v>-95.996412051682398</v>
      </c>
    </row>
    <row r="207" spans="1:19" x14ac:dyDescent="0.4">
      <c r="A207" s="42">
        <v>206</v>
      </c>
      <c r="B207" s="41">
        <f t="shared" ca="1" si="40"/>
        <v>8.0064303850041529</v>
      </c>
      <c r="C207" s="41">
        <f t="shared" ca="1" si="41"/>
        <v>4.0421105596394264</v>
      </c>
      <c r="D207" s="41">
        <f t="shared" ca="1" si="42"/>
        <v>-95.996412051682398</v>
      </c>
      <c r="E207" s="42">
        <f t="shared" ca="1" si="43"/>
        <v>0.9166396499834113</v>
      </c>
      <c r="F207" s="42">
        <v>0.5</v>
      </c>
      <c r="G207" s="43">
        <f t="shared" ca="1" si="44"/>
        <v>8.4647502099958594</v>
      </c>
      <c r="H207" s="42">
        <f t="shared" ca="1" si="45"/>
        <v>0.22643230907647238</v>
      </c>
      <c r="I207" s="42">
        <v>0.5</v>
      </c>
      <c r="J207" s="43">
        <f t="shared" ca="1" si="46"/>
        <v>4.1553267141776624</v>
      </c>
      <c r="K207" s="43">
        <f t="shared" ca="1" si="47"/>
        <v>-95.735754466034336</v>
      </c>
      <c r="L207" s="42">
        <f t="shared" si="39"/>
        <v>3.7493582965829359E-10</v>
      </c>
      <c r="M207" s="42">
        <f ca="1">K207-D207</f>
        <v>0.26065758564806174</v>
      </c>
      <c r="N207" s="42">
        <f t="shared" ca="1" si="48"/>
        <v>695205859.32162857</v>
      </c>
      <c r="O207" s="42">
        <f t="shared" ca="1" si="49"/>
        <v>0</v>
      </c>
      <c r="P207" s="42">
        <f t="shared" ca="1" si="50"/>
        <v>0.96593531483554551</v>
      </c>
      <c r="Q207" s="44">
        <f ca="1">IF(M207&lt;0,G207,IF(P207&lt;O207,G207,B207))</f>
        <v>8.0064303850041529</v>
      </c>
      <c r="R207" s="44">
        <f ca="1">IF(N207&lt;0,J207,IF(P207&lt;O207,J207,C207))</f>
        <v>4.0421105596394264</v>
      </c>
      <c r="S207" s="44">
        <f t="shared" ca="1" si="51"/>
        <v>-95.996412051682398</v>
      </c>
    </row>
    <row r="208" spans="1:19" x14ac:dyDescent="0.4">
      <c r="A208" s="42">
        <v>207</v>
      </c>
      <c r="B208" s="41">
        <f t="shared" ca="1" si="40"/>
        <v>8.0064303850041529</v>
      </c>
      <c r="C208" s="41">
        <f t="shared" ca="1" si="41"/>
        <v>4.0421105596394264</v>
      </c>
      <c r="D208" s="41">
        <f t="shared" ca="1" si="42"/>
        <v>-95.996412051682398</v>
      </c>
      <c r="E208" s="42">
        <f t="shared" ca="1" si="43"/>
        <v>-0.65129333741170203</v>
      </c>
      <c r="F208" s="42">
        <v>0.5</v>
      </c>
      <c r="G208" s="43">
        <f t="shared" ca="1" si="44"/>
        <v>7.6807837162983024</v>
      </c>
      <c r="H208" s="42">
        <f t="shared" ca="1" si="45"/>
        <v>-0.2704814065473744</v>
      </c>
      <c r="I208" s="42">
        <v>0.5</v>
      </c>
      <c r="J208" s="43">
        <f t="shared" ca="1" si="46"/>
        <v>3.9068698563657391</v>
      </c>
      <c r="K208" s="43">
        <f t="shared" ca="1" si="47"/>
        <v>-95.880754516913015</v>
      </c>
      <c r="L208" s="42">
        <f t="shared" si="39"/>
        <v>3.3744224669246421E-10</v>
      </c>
      <c r="M208" s="42">
        <f ca="1">K208-D208</f>
        <v>0.11565753476938312</v>
      </c>
      <c r="N208" s="42">
        <f t="shared" ca="1" si="48"/>
        <v>342747643.19830495</v>
      </c>
      <c r="O208" s="42">
        <f t="shared" ca="1" si="49"/>
        <v>0</v>
      </c>
      <c r="P208" s="42">
        <f t="shared" ca="1" si="50"/>
        <v>0.46015053135503958</v>
      </c>
      <c r="Q208" s="44">
        <f ca="1">IF(M208&lt;0,G208,IF(P208&lt;O208,G208,B208))</f>
        <v>8.0064303850041529</v>
      </c>
      <c r="R208" s="44">
        <f ca="1">IF(N208&lt;0,J208,IF(P208&lt;O208,J208,C208))</f>
        <v>4.0421105596394264</v>
      </c>
      <c r="S208" s="44">
        <f t="shared" ca="1" si="51"/>
        <v>-95.996412051682398</v>
      </c>
    </row>
    <row r="209" spans="1:19" x14ac:dyDescent="0.4">
      <c r="A209" s="42">
        <v>208</v>
      </c>
      <c r="B209" s="41">
        <f t="shared" ca="1" si="40"/>
        <v>8.0064303850041529</v>
      </c>
      <c r="C209" s="41">
        <f t="shared" ca="1" si="41"/>
        <v>4.0421105596394264</v>
      </c>
      <c r="D209" s="41">
        <f t="shared" ca="1" si="42"/>
        <v>-95.996412051682398</v>
      </c>
      <c r="E209" s="42">
        <f t="shared" ca="1" si="43"/>
        <v>-0.95569994253571822</v>
      </c>
      <c r="F209" s="42">
        <v>0.5</v>
      </c>
      <c r="G209" s="43">
        <f t="shared" ca="1" si="44"/>
        <v>7.5285804137362939</v>
      </c>
      <c r="H209" s="42">
        <f t="shared" ca="1" si="45"/>
        <v>-0.24188517831926348</v>
      </c>
      <c r="I209" s="42">
        <v>0.5</v>
      </c>
      <c r="J209" s="43">
        <f t="shared" ca="1" si="46"/>
        <v>3.9211679704797948</v>
      </c>
      <c r="K209" s="43">
        <f t="shared" ca="1" si="47"/>
        <v>-95.765334595930398</v>
      </c>
      <c r="L209" s="42">
        <f t="shared" si="39"/>
        <v>3.0369802202321783E-10</v>
      </c>
      <c r="M209" s="42">
        <f ca="1">K209-D209</f>
        <v>0.23107745575200056</v>
      </c>
      <c r="N209" s="42">
        <f t="shared" ca="1" si="48"/>
        <v>760879027.83355832</v>
      </c>
      <c r="O209" s="42">
        <f t="shared" ca="1" si="49"/>
        <v>0</v>
      </c>
      <c r="P209" s="42">
        <f t="shared" ca="1" si="50"/>
        <v>0.96607713235334136</v>
      </c>
      <c r="Q209" s="44">
        <f ca="1">IF(M209&lt;0,G209,IF(P209&lt;O209,G209,B209))</f>
        <v>8.0064303850041529</v>
      </c>
      <c r="R209" s="44">
        <f ca="1">IF(N209&lt;0,J209,IF(P209&lt;O209,J209,C209))</f>
        <v>4.0421105596394264</v>
      </c>
      <c r="S209" s="44">
        <f t="shared" ca="1" si="51"/>
        <v>-95.996412051682398</v>
      </c>
    </row>
    <row r="210" spans="1:19" x14ac:dyDescent="0.4">
      <c r="A210" s="42">
        <v>209</v>
      </c>
      <c r="B210" s="41">
        <f t="shared" ca="1" si="40"/>
        <v>8.0064303850041529</v>
      </c>
      <c r="C210" s="41">
        <f t="shared" ca="1" si="41"/>
        <v>4.0421105596394264</v>
      </c>
      <c r="D210" s="41">
        <f t="shared" ca="1" si="42"/>
        <v>-95.996412051682398</v>
      </c>
      <c r="E210" s="42">
        <f t="shared" ca="1" si="43"/>
        <v>0.54176509964866915</v>
      </c>
      <c r="F210" s="42">
        <v>0.5</v>
      </c>
      <c r="G210" s="43">
        <f t="shared" ca="1" si="44"/>
        <v>8.2773129348284868</v>
      </c>
      <c r="H210" s="42">
        <f t="shared" ca="1" si="45"/>
        <v>-0.51142054388841962</v>
      </c>
      <c r="I210" s="42">
        <v>0.5</v>
      </c>
      <c r="J210" s="43">
        <f t="shared" ca="1" si="46"/>
        <v>3.7864002876952165</v>
      </c>
      <c r="K210" s="43">
        <f t="shared" ca="1" si="47"/>
        <v>-95.831847861983448</v>
      </c>
      <c r="L210" s="42">
        <f t="shared" si="39"/>
        <v>2.7332821982089607E-10</v>
      </c>
      <c r="M210" s="42">
        <f ca="1">K210-D210</f>
        <v>0.16456418969895026</v>
      </c>
      <c r="N210" s="42">
        <f t="shared" ca="1" si="48"/>
        <v>602075372.26410186</v>
      </c>
      <c r="O210" s="42">
        <f t="shared" ca="1" si="49"/>
        <v>0</v>
      </c>
      <c r="P210" s="42">
        <f t="shared" ca="1" si="50"/>
        <v>0.48995788979891575</v>
      </c>
      <c r="Q210" s="44">
        <f ca="1">IF(M210&lt;0,G210,IF(P210&lt;O210,G210,B210))</f>
        <v>8.0064303850041529</v>
      </c>
      <c r="R210" s="44">
        <f ca="1">IF(N210&lt;0,J210,IF(P210&lt;O210,J210,C210))</f>
        <v>4.0421105596394264</v>
      </c>
      <c r="S210" s="44">
        <f t="shared" ca="1" si="51"/>
        <v>-95.996412051682398</v>
      </c>
    </row>
    <row r="211" spans="1:19" x14ac:dyDescent="0.4">
      <c r="A211" s="42">
        <v>210</v>
      </c>
      <c r="B211" s="41">
        <f t="shared" ca="1" si="40"/>
        <v>8.0064303850041529</v>
      </c>
      <c r="C211" s="41">
        <f t="shared" ca="1" si="41"/>
        <v>4.0421105596394264</v>
      </c>
      <c r="D211" s="41">
        <f t="shared" ca="1" si="42"/>
        <v>-95.996412051682398</v>
      </c>
      <c r="E211" s="42">
        <f t="shared" ca="1" si="43"/>
        <v>-0.20806290669239846</v>
      </c>
      <c r="F211" s="42">
        <v>0.5</v>
      </c>
      <c r="G211" s="43">
        <f t="shared" ca="1" si="44"/>
        <v>7.9023989316579542</v>
      </c>
      <c r="H211" s="42">
        <f t="shared" ca="1" si="45"/>
        <v>0.29699645417873266</v>
      </c>
      <c r="I211" s="42">
        <v>0.5</v>
      </c>
      <c r="J211" s="43">
        <f t="shared" ca="1" si="46"/>
        <v>4.1906087867287924</v>
      </c>
      <c r="K211" s="43">
        <f t="shared" ca="1" si="47"/>
        <v>-95.917810612302048</v>
      </c>
      <c r="L211" s="42">
        <f t="shared" si="39"/>
        <v>2.4599539783880646E-10</v>
      </c>
      <c r="M211" s="42">
        <f ca="1">K211-D211</f>
        <v>7.8601439380349802E-2</v>
      </c>
      <c r="N211" s="42">
        <f t="shared" ca="1" si="48"/>
        <v>319524023.9081831</v>
      </c>
      <c r="O211" s="42">
        <f t="shared" ca="1" si="49"/>
        <v>0</v>
      </c>
      <c r="P211" s="42">
        <f t="shared" ca="1" si="50"/>
        <v>9.4776989234074183E-2</v>
      </c>
      <c r="Q211" s="44">
        <f ca="1">IF(M211&lt;0,G211,IF(P211&lt;O211,G211,B211))</f>
        <v>8.0064303850041529</v>
      </c>
      <c r="R211" s="44">
        <f ca="1">IF(N211&lt;0,J211,IF(P211&lt;O211,J211,C211))</f>
        <v>4.0421105596394264</v>
      </c>
      <c r="S211" s="44">
        <f t="shared" ca="1" si="51"/>
        <v>-95.996412051682398</v>
      </c>
    </row>
    <row r="212" spans="1:19" x14ac:dyDescent="0.4">
      <c r="A212" s="42">
        <v>211</v>
      </c>
      <c r="B212" s="41">
        <f t="shared" ca="1" si="40"/>
        <v>8.0064303850041529</v>
      </c>
      <c r="C212" s="41">
        <f t="shared" ca="1" si="41"/>
        <v>4.0421105596394264</v>
      </c>
      <c r="D212" s="41">
        <f t="shared" ca="1" si="42"/>
        <v>-95.996412051682398</v>
      </c>
      <c r="E212" s="42">
        <f t="shared" ca="1" si="43"/>
        <v>0.9984304721981474</v>
      </c>
      <c r="F212" s="42">
        <v>0.5</v>
      </c>
      <c r="G212" s="43">
        <f t="shared" ca="1" si="44"/>
        <v>8.505645621103227</v>
      </c>
      <c r="H212" s="42">
        <f t="shared" ca="1" si="45"/>
        <v>0.59233344913299546</v>
      </c>
      <c r="I212" s="42">
        <v>0.5</v>
      </c>
      <c r="J212" s="43">
        <f t="shared" ca="1" si="46"/>
        <v>4.3382772842059243</v>
      </c>
      <c r="K212" s="43">
        <f t="shared" ca="1" si="47"/>
        <v>-95.515459463839662</v>
      </c>
      <c r="L212" s="42">
        <f t="shared" si="39"/>
        <v>2.2139585805492583E-10</v>
      </c>
      <c r="M212" s="42">
        <f ca="1">K212-D212</f>
        <v>0.48095258784273653</v>
      </c>
      <c r="N212" s="42">
        <f t="shared" ca="1" si="48"/>
        <v>2172364885.5409822</v>
      </c>
      <c r="O212" s="42">
        <f t="shared" ca="1" si="49"/>
        <v>0</v>
      </c>
      <c r="P212" s="42">
        <f t="shared" ca="1" si="50"/>
        <v>0.25645844534929385</v>
      </c>
      <c r="Q212" s="44">
        <f ca="1">IF(M212&lt;0,G212,IF(P212&lt;O212,G212,B212))</f>
        <v>8.0064303850041529</v>
      </c>
      <c r="R212" s="44">
        <f ca="1">IF(N212&lt;0,J212,IF(P212&lt;O212,J212,C212))</f>
        <v>4.0421105596394264</v>
      </c>
      <c r="S212" s="44">
        <f t="shared" ca="1" si="51"/>
        <v>-95.996412051682398</v>
      </c>
    </row>
    <row r="213" spans="1:19" x14ac:dyDescent="0.4">
      <c r="A213" s="42">
        <v>212</v>
      </c>
      <c r="B213" s="41">
        <f t="shared" ca="1" si="40"/>
        <v>8.0064303850041529</v>
      </c>
      <c r="C213" s="41">
        <f t="shared" ca="1" si="41"/>
        <v>4.0421105596394264</v>
      </c>
      <c r="D213" s="41">
        <f t="shared" ca="1" si="42"/>
        <v>-95.996412051682398</v>
      </c>
      <c r="E213" s="42">
        <f t="shared" ca="1" si="43"/>
        <v>-0.41602442618936686</v>
      </c>
      <c r="F213" s="42">
        <v>0.5</v>
      </c>
      <c r="G213" s="43">
        <f t="shared" ca="1" si="44"/>
        <v>7.7984181719094696</v>
      </c>
      <c r="H213" s="42">
        <f t="shared" ca="1" si="45"/>
        <v>0.93335350888501978</v>
      </c>
      <c r="I213" s="42">
        <v>0.5</v>
      </c>
      <c r="J213" s="43">
        <f t="shared" ca="1" si="46"/>
        <v>4.5087873140819363</v>
      </c>
      <c r="K213" s="43">
        <f t="shared" ca="1" si="47"/>
        <v>-95.441635704642266</v>
      </c>
      <c r="L213" s="42">
        <f t="shared" si="39"/>
        <v>1.9925627224943328E-10</v>
      </c>
      <c r="M213" s="42">
        <f ca="1">K213-D213</f>
        <v>0.55477634704013212</v>
      </c>
      <c r="N213" s="42">
        <f t="shared" ca="1" si="48"/>
        <v>2784235300.4860554</v>
      </c>
      <c r="O213" s="42">
        <f t="shared" ca="1" si="49"/>
        <v>0</v>
      </c>
      <c r="P213" s="42">
        <f t="shared" ca="1" si="50"/>
        <v>0.95985876161382244</v>
      </c>
      <c r="Q213" s="44">
        <f ca="1">IF(M213&lt;0,G213,IF(P213&lt;O213,G213,B213))</f>
        <v>8.0064303850041529</v>
      </c>
      <c r="R213" s="44">
        <f ca="1">IF(N213&lt;0,J213,IF(P213&lt;O213,J213,C213))</f>
        <v>4.0421105596394264</v>
      </c>
      <c r="S213" s="44">
        <f t="shared" ca="1" si="51"/>
        <v>-95.996412051682398</v>
      </c>
    </row>
    <row r="214" spans="1:19" x14ac:dyDescent="0.4">
      <c r="A214" s="42">
        <v>213</v>
      </c>
      <c r="B214" s="41">
        <f t="shared" ca="1" si="40"/>
        <v>8.0064303850041529</v>
      </c>
      <c r="C214" s="41">
        <f t="shared" ca="1" si="41"/>
        <v>4.0421105596394264</v>
      </c>
      <c r="D214" s="41">
        <f t="shared" ca="1" si="42"/>
        <v>-95.996412051682398</v>
      </c>
      <c r="E214" s="42">
        <f t="shared" ca="1" si="43"/>
        <v>0.4424631824676486</v>
      </c>
      <c r="F214" s="42">
        <v>0.5</v>
      </c>
      <c r="G214" s="43">
        <f t="shared" ca="1" si="44"/>
        <v>8.227661976237977</v>
      </c>
      <c r="H214" s="42">
        <f t="shared" ca="1" si="45"/>
        <v>-0.19777447289095784</v>
      </c>
      <c r="I214" s="42">
        <v>0.5</v>
      </c>
      <c r="J214" s="43">
        <f t="shared" ca="1" si="46"/>
        <v>3.9432233231939477</v>
      </c>
      <c r="K214" s="43">
        <f t="shared" ca="1" si="47"/>
        <v>-95.941722842517137</v>
      </c>
      <c r="L214" s="42">
        <f t="shared" si="39"/>
        <v>1.7933064502448997E-10</v>
      </c>
      <c r="M214" s="42">
        <f ca="1">K214-D214</f>
        <v>5.4689209165260877E-2</v>
      </c>
      <c r="N214" s="42">
        <f t="shared" ca="1" si="48"/>
        <v>304962986.98860055</v>
      </c>
      <c r="O214" s="42">
        <f t="shared" ca="1" si="49"/>
        <v>0</v>
      </c>
      <c r="P214" s="42">
        <f t="shared" ca="1" si="50"/>
        <v>0.63035101754929868</v>
      </c>
      <c r="Q214" s="44">
        <f ca="1">IF(M214&lt;0,G214,IF(P214&lt;O214,G214,B214))</f>
        <v>8.0064303850041529</v>
      </c>
      <c r="R214" s="44">
        <f ca="1">IF(N214&lt;0,J214,IF(P214&lt;O214,J214,C214))</f>
        <v>4.0421105596394264</v>
      </c>
      <c r="S214" s="44">
        <f t="shared" ca="1" si="51"/>
        <v>-95.996412051682398</v>
      </c>
    </row>
    <row r="215" spans="1:19" x14ac:dyDescent="0.4">
      <c r="A215" s="42">
        <v>214</v>
      </c>
      <c r="B215" s="41">
        <f t="shared" ca="1" si="40"/>
        <v>8.0064303850041529</v>
      </c>
      <c r="C215" s="41">
        <f t="shared" ca="1" si="41"/>
        <v>4.0421105596394264</v>
      </c>
      <c r="D215" s="41">
        <f t="shared" ca="1" si="42"/>
        <v>-95.996412051682398</v>
      </c>
      <c r="E215" s="42">
        <f t="shared" ca="1" si="43"/>
        <v>0.92329021686740465</v>
      </c>
      <c r="F215" s="42">
        <v>0.5</v>
      </c>
      <c r="G215" s="43">
        <f t="shared" ca="1" si="44"/>
        <v>8.4680754934378548</v>
      </c>
      <c r="H215" s="42">
        <f t="shared" ca="1" si="45"/>
        <v>0.47613214730184406</v>
      </c>
      <c r="I215" s="42">
        <v>0.5</v>
      </c>
      <c r="J215" s="43">
        <f t="shared" ca="1" si="46"/>
        <v>4.2801766332903481</v>
      </c>
      <c r="K215" s="43">
        <f t="shared" ca="1" si="47"/>
        <v>-95.623907440759083</v>
      </c>
      <c r="L215" s="42">
        <f t="shared" si="39"/>
        <v>1.6139758052204098E-10</v>
      </c>
      <c r="M215" s="42">
        <f ca="1">K215-D215</f>
        <v>0.37250461092331477</v>
      </c>
      <c r="N215" s="42">
        <f t="shared" ca="1" si="48"/>
        <v>2307993773.6268873</v>
      </c>
      <c r="O215" s="42">
        <f t="shared" ca="1" si="49"/>
        <v>0</v>
      </c>
      <c r="P215" s="42">
        <f t="shared" ca="1" si="50"/>
        <v>0.47701879546754145</v>
      </c>
      <c r="Q215" s="44">
        <f ca="1">IF(M215&lt;0,G215,IF(P215&lt;O215,G215,B215))</f>
        <v>8.0064303850041529</v>
      </c>
      <c r="R215" s="44">
        <f ca="1">IF(N215&lt;0,J215,IF(P215&lt;O215,J215,C215))</f>
        <v>4.0421105596394264</v>
      </c>
      <c r="S215" s="44">
        <f t="shared" ca="1" si="51"/>
        <v>-95.996412051682398</v>
      </c>
    </row>
    <row r="216" spans="1:19" x14ac:dyDescent="0.4">
      <c r="A216" s="42">
        <v>215</v>
      </c>
      <c r="B216" s="41">
        <f t="shared" ca="1" si="40"/>
        <v>8.0064303850041529</v>
      </c>
      <c r="C216" s="41">
        <f t="shared" ca="1" si="41"/>
        <v>4.0421105596394264</v>
      </c>
      <c r="D216" s="41">
        <f t="shared" ca="1" si="42"/>
        <v>-95.996412051682398</v>
      </c>
      <c r="E216" s="42">
        <f t="shared" ca="1" si="43"/>
        <v>0.3668402120030767</v>
      </c>
      <c r="F216" s="42">
        <v>0.5</v>
      </c>
      <c r="G216" s="43">
        <f t="shared" ca="1" si="44"/>
        <v>8.1898504910056911</v>
      </c>
      <c r="H216" s="42">
        <f t="shared" ca="1" si="45"/>
        <v>-0.29359806800215393</v>
      </c>
      <c r="I216" s="42">
        <v>0.5</v>
      </c>
      <c r="J216" s="43">
        <f t="shared" ca="1" si="46"/>
        <v>3.8953115256383493</v>
      </c>
      <c r="K216" s="43">
        <f t="shared" ca="1" si="47"/>
        <v>-95.942037437736559</v>
      </c>
      <c r="L216" s="42">
        <f t="shared" si="39"/>
        <v>1.4525782246983688E-10</v>
      </c>
      <c r="M216" s="42">
        <f ca="1">K216-D216</f>
        <v>5.4374613945839201E-2</v>
      </c>
      <c r="N216" s="42">
        <f t="shared" ca="1" si="48"/>
        <v>374331743.52541471</v>
      </c>
      <c r="O216" s="42">
        <f t="shared" ca="1" si="49"/>
        <v>0</v>
      </c>
      <c r="P216" s="42">
        <f t="shared" ca="1" si="50"/>
        <v>0.47975097415942958</v>
      </c>
      <c r="Q216" s="44">
        <f ca="1">IF(M216&lt;0,G216,IF(P216&lt;O216,G216,B216))</f>
        <v>8.0064303850041529</v>
      </c>
      <c r="R216" s="44">
        <f ca="1">IF(N216&lt;0,J216,IF(P216&lt;O216,J216,C216))</f>
        <v>4.0421105596394264</v>
      </c>
      <c r="S216" s="44">
        <f t="shared" ca="1" si="51"/>
        <v>-95.996412051682398</v>
      </c>
    </row>
    <row r="217" spans="1:19" x14ac:dyDescent="0.4">
      <c r="A217" s="42">
        <v>216</v>
      </c>
      <c r="B217" s="41">
        <f t="shared" ca="1" si="40"/>
        <v>8.0064303850041529</v>
      </c>
      <c r="C217" s="41">
        <f t="shared" ca="1" si="41"/>
        <v>4.0421105596394264</v>
      </c>
      <c r="D217" s="41">
        <f t="shared" ca="1" si="42"/>
        <v>-95.996412051682398</v>
      </c>
      <c r="E217" s="42">
        <f t="shared" ca="1" si="43"/>
        <v>0.51582874910305376</v>
      </c>
      <c r="F217" s="42">
        <v>0.5</v>
      </c>
      <c r="G217" s="43">
        <f t="shared" ca="1" si="44"/>
        <v>8.26434475955568</v>
      </c>
      <c r="H217" s="42">
        <f t="shared" ca="1" si="45"/>
        <v>-8.4862597969952214E-2</v>
      </c>
      <c r="I217" s="42">
        <v>0.5</v>
      </c>
      <c r="J217" s="43">
        <f t="shared" ca="1" si="46"/>
        <v>3.9996792606544505</v>
      </c>
      <c r="K217" s="43">
        <f t="shared" ca="1" si="47"/>
        <v>-95.930121642347999</v>
      </c>
      <c r="L217" s="42">
        <f t="shared" si="39"/>
        <v>1.307320402228532E-10</v>
      </c>
      <c r="M217" s="42">
        <f ca="1">K217-D217</f>
        <v>6.6290409334399669E-2</v>
      </c>
      <c r="N217" s="42">
        <f t="shared" ca="1" si="48"/>
        <v>507070869.70720649</v>
      </c>
      <c r="O217" s="42">
        <f t="shared" ca="1" si="49"/>
        <v>0</v>
      </c>
      <c r="P217" s="42">
        <f t="shared" ca="1" si="50"/>
        <v>0.40031797172378936</v>
      </c>
      <c r="Q217" s="44">
        <f ca="1">IF(M217&lt;0,G217,IF(P217&lt;O217,G217,B217))</f>
        <v>8.0064303850041529</v>
      </c>
      <c r="R217" s="44">
        <f ca="1">IF(N217&lt;0,J217,IF(P217&lt;O217,J217,C217))</f>
        <v>4.0421105596394264</v>
      </c>
      <c r="S217" s="44">
        <f t="shared" ca="1" si="51"/>
        <v>-95.996412051682398</v>
      </c>
    </row>
    <row r="218" spans="1:19" x14ac:dyDescent="0.4">
      <c r="A218" s="42">
        <v>217</v>
      </c>
      <c r="B218" s="41">
        <f t="shared" ca="1" si="40"/>
        <v>8.0064303850041529</v>
      </c>
      <c r="C218" s="41">
        <f t="shared" ca="1" si="41"/>
        <v>4.0421105596394264</v>
      </c>
      <c r="D218" s="41">
        <f t="shared" ca="1" si="42"/>
        <v>-95.996412051682398</v>
      </c>
      <c r="E218" s="42">
        <f t="shared" ca="1" si="43"/>
        <v>0.46755141825423263</v>
      </c>
      <c r="F218" s="42">
        <v>0.5</v>
      </c>
      <c r="G218" s="43">
        <f t="shared" ca="1" si="44"/>
        <v>8.2402060941312687</v>
      </c>
      <c r="H218" s="42">
        <f t="shared" ca="1" si="45"/>
        <v>0.68312497203574418</v>
      </c>
      <c r="I218" s="42">
        <v>0.5</v>
      </c>
      <c r="J218" s="43">
        <f t="shared" ca="1" si="46"/>
        <v>4.3836730456572983</v>
      </c>
      <c r="K218" s="43">
        <f t="shared" ca="1" si="47"/>
        <v>-95.647891020414306</v>
      </c>
      <c r="L218" s="42">
        <f t="shared" si="39"/>
        <v>1.1765883620056786E-10</v>
      </c>
      <c r="M218" s="42">
        <f ca="1">K218-D218</f>
        <v>0.34852103126809197</v>
      </c>
      <c r="N218" s="42">
        <f t="shared" ca="1" si="48"/>
        <v>2962132233.5194907</v>
      </c>
      <c r="O218" s="42">
        <f t="shared" ca="1" si="49"/>
        <v>0</v>
      </c>
      <c r="P218" s="42">
        <f t="shared" ca="1" si="50"/>
        <v>0.86955636789030077</v>
      </c>
      <c r="Q218" s="44">
        <f ca="1">IF(M218&lt;0,G218,IF(P218&lt;O218,G218,B218))</f>
        <v>8.0064303850041529</v>
      </c>
      <c r="R218" s="44">
        <f ca="1">IF(N218&lt;0,J218,IF(P218&lt;O218,J218,C218))</f>
        <v>4.0421105596394264</v>
      </c>
      <c r="S218" s="44">
        <f t="shared" ca="1" si="51"/>
        <v>-95.996412051682398</v>
      </c>
    </row>
    <row r="219" spans="1:19" x14ac:dyDescent="0.4">
      <c r="A219" s="42">
        <v>218</v>
      </c>
      <c r="B219" s="41">
        <f t="shared" ca="1" si="40"/>
        <v>8.0064303850041529</v>
      </c>
      <c r="C219" s="41">
        <f t="shared" ca="1" si="41"/>
        <v>4.0421105596394264</v>
      </c>
      <c r="D219" s="41">
        <f t="shared" ca="1" si="42"/>
        <v>-95.996412051682398</v>
      </c>
      <c r="E219" s="42">
        <f t="shared" ca="1" si="43"/>
        <v>-0.77793603563889469</v>
      </c>
      <c r="F219" s="42">
        <v>0.5</v>
      </c>
      <c r="G219" s="43">
        <f t="shared" ca="1" si="44"/>
        <v>7.6174623671847055</v>
      </c>
      <c r="H219" s="42">
        <f t="shared" ca="1" si="45"/>
        <v>-0.49606159967259722</v>
      </c>
      <c r="I219" s="42">
        <v>0.5</v>
      </c>
      <c r="J219" s="43">
        <f t="shared" ca="1" si="46"/>
        <v>3.7940797598031279</v>
      </c>
      <c r="K219" s="43">
        <f t="shared" ca="1" si="47"/>
        <v>-95.768858668834596</v>
      </c>
      <c r="L219" s="42">
        <f t="shared" si="39"/>
        <v>1.058929525805111E-10</v>
      </c>
      <c r="M219" s="42">
        <f ca="1">K219-D219</f>
        <v>0.2275533828478018</v>
      </c>
      <c r="N219" s="42">
        <f t="shared" ca="1" si="48"/>
        <v>2148900160.9884424</v>
      </c>
      <c r="O219" s="42">
        <f t="shared" ca="1" si="49"/>
        <v>0</v>
      </c>
      <c r="P219" s="42">
        <f t="shared" ca="1" si="50"/>
        <v>0.11390202676219663</v>
      </c>
      <c r="Q219" s="44">
        <f ca="1">IF(M219&lt;0,G219,IF(P219&lt;O219,G219,B219))</f>
        <v>8.0064303850041529</v>
      </c>
      <c r="R219" s="44">
        <f ca="1">IF(N219&lt;0,J219,IF(P219&lt;O219,J219,C219))</f>
        <v>4.0421105596394264</v>
      </c>
      <c r="S219" s="44">
        <f t="shared" ca="1" si="51"/>
        <v>-95.996412051682398</v>
      </c>
    </row>
    <row r="220" spans="1:19" x14ac:dyDescent="0.4">
      <c r="A220" s="42">
        <v>219</v>
      </c>
      <c r="B220" s="41">
        <f t="shared" ca="1" si="40"/>
        <v>8.0064303850041529</v>
      </c>
      <c r="C220" s="41">
        <f t="shared" ca="1" si="41"/>
        <v>4.0421105596394264</v>
      </c>
      <c r="D220" s="41">
        <f t="shared" ca="1" si="42"/>
        <v>-95.996412051682398</v>
      </c>
      <c r="E220" s="42">
        <f t="shared" ca="1" si="43"/>
        <v>0.10541712319532603</v>
      </c>
      <c r="F220" s="42">
        <v>0.5</v>
      </c>
      <c r="G220" s="43">
        <f t="shared" ca="1" si="44"/>
        <v>8.0591389466018164</v>
      </c>
      <c r="H220" s="42">
        <f t="shared" ca="1" si="45"/>
        <v>-0.96255168612208264</v>
      </c>
      <c r="I220" s="42">
        <v>0.5</v>
      </c>
      <c r="J220" s="43">
        <f t="shared" ca="1" si="46"/>
        <v>3.5608347165783849</v>
      </c>
      <c r="K220" s="43">
        <f t="shared" ca="1" si="47"/>
        <v>-95.610770292669258</v>
      </c>
      <c r="L220" s="42">
        <f t="shared" si="39"/>
        <v>9.5303657322459994E-11</v>
      </c>
      <c r="M220" s="42">
        <f ca="1">K220-D220</f>
        <v>0.38564175901314002</v>
      </c>
      <c r="N220" s="42">
        <f t="shared" ca="1" si="48"/>
        <v>4046452883.8418117</v>
      </c>
      <c r="O220" s="42">
        <f t="shared" ca="1" si="49"/>
        <v>0</v>
      </c>
      <c r="P220" s="42">
        <f t="shared" ca="1" si="50"/>
        <v>0.25098978142519757</v>
      </c>
      <c r="Q220" s="44">
        <f ca="1">IF(M220&lt;0,G220,IF(P220&lt;O220,G220,B220))</f>
        <v>8.0064303850041529</v>
      </c>
      <c r="R220" s="44">
        <f ca="1">IF(N220&lt;0,J220,IF(P220&lt;O220,J220,C220))</f>
        <v>4.0421105596394264</v>
      </c>
      <c r="S220" s="44">
        <f t="shared" ca="1" si="51"/>
        <v>-95.996412051682398</v>
      </c>
    </row>
    <row r="221" spans="1:19" x14ac:dyDescent="0.4">
      <c r="A221" s="42">
        <v>220</v>
      </c>
      <c r="B221" s="41">
        <f t="shared" ca="1" si="40"/>
        <v>8.0064303850041529</v>
      </c>
      <c r="C221" s="41">
        <f t="shared" ca="1" si="41"/>
        <v>4.0421105596394264</v>
      </c>
      <c r="D221" s="41">
        <f t="shared" ca="1" si="42"/>
        <v>-95.996412051682398</v>
      </c>
      <c r="E221" s="42">
        <f t="shared" ca="1" si="43"/>
        <v>-0.87880301048743692</v>
      </c>
      <c r="F221" s="42">
        <v>0.5</v>
      </c>
      <c r="G221" s="43">
        <f t="shared" ca="1" si="44"/>
        <v>7.5670288797604348</v>
      </c>
      <c r="H221" s="42">
        <f t="shared" ca="1" si="45"/>
        <v>0.92555472223332291</v>
      </c>
      <c r="I221" s="42">
        <v>0.5</v>
      </c>
      <c r="J221" s="43">
        <f t="shared" ca="1" si="46"/>
        <v>4.5048879207560883</v>
      </c>
      <c r="K221" s="43">
        <f t="shared" ca="1" si="47"/>
        <v>-95.302712383987682</v>
      </c>
      <c r="L221" s="42">
        <f t="shared" si="39"/>
        <v>8.5773291590214006E-11</v>
      </c>
      <c r="M221" s="42">
        <f ca="1">K221-D221</f>
        <v>0.69369966769471603</v>
      </c>
      <c r="N221" s="42">
        <f t="shared" ca="1" si="48"/>
        <v>8087595273.9332809</v>
      </c>
      <c r="O221" s="42">
        <f t="shared" ca="1" si="49"/>
        <v>0</v>
      </c>
      <c r="P221" s="42">
        <f t="shared" ca="1" si="50"/>
        <v>0.42910830634551778</v>
      </c>
      <c r="Q221" s="44">
        <f ca="1">IF(M221&lt;0,G221,IF(P221&lt;O221,G221,B221))</f>
        <v>8.0064303850041529</v>
      </c>
      <c r="R221" s="44">
        <f ca="1">IF(N221&lt;0,J221,IF(P221&lt;O221,J221,C221))</f>
        <v>4.0421105596394264</v>
      </c>
      <c r="S221" s="44">
        <f t="shared" ca="1" si="51"/>
        <v>-95.996412051682398</v>
      </c>
    </row>
    <row r="222" spans="1:19" x14ac:dyDescent="0.4">
      <c r="A222" s="42">
        <v>221</v>
      </c>
      <c r="B222" s="41">
        <f t="shared" ca="1" si="40"/>
        <v>8.0064303850041529</v>
      </c>
      <c r="C222" s="41">
        <f t="shared" ca="1" si="41"/>
        <v>4.0421105596394264</v>
      </c>
      <c r="D222" s="41">
        <f t="shared" ca="1" si="42"/>
        <v>-95.996412051682398</v>
      </c>
      <c r="E222" s="42">
        <f t="shared" ca="1" si="43"/>
        <v>-0.86851275762949598</v>
      </c>
      <c r="F222" s="42">
        <v>0.5</v>
      </c>
      <c r="G222" s="43">
        <f t="shared" ca="1" si="44"/>
        <v>7.5721740061894049</v>
      </c>
      <c r="H222" s="42">
        <f t="shared" ca="1" si="45"/>
        <v>0.34157329620852761</v>
      </c>
      <c r="I222" s="42">
        <v>0.5</v>
      </c>
      <c r="J222" s="43">
        <f t="shared" ca="1" si="46"/>
        <v>4.2128972077436906</v>
      </c>
      <c r="K222" s="43">
        <f t="shared" ca="1" si="47"/>
        <v>-95.726314476889854</v>
      </c>
      <c r="L222" s="42">
        <f t="shared" si="39"/>
        <v>7.7195962431192604E-11</v>
      </c>
      <c r="M222" s="42">
        <f ca="1">K222-D222</f>
        <v>0.27009757479254404</v>
      </c>
      <c r="N222" s="42">
        <f t="shared" ca="1" si="48"/>
        <v>3498856239.1885614</v>
      </c>
      <c r="O222" s="42">
        <f t="shared" ca="1" si="49"/>
        <v>0</v>
      </c>
      <c r="P222" s="42">
        <f t="shared" ca="1" si="50"/>
        <v>0.63560542894203242</v>
      </c>
      <c r="Q222" s="44">
        <f ca="1">IF(M222&lt;0,G222,IF(P222&lt;O222,G222,B222))</f>
        <v>8.0064303850041529</v>
      </c>
      <c r="R222" s="44">
        <f ca="1">IF(N222&lt;0,J222,IF(P222&lt;O222,J222,C222))</f>
        <v>4.0421105596394264</v>
      </c>
      <c r="S222" s="44">
        <f t="shared" ca="1" si="51"/>
        <v>-95.996412051682398</v>
      </c>
    </row>
    <row r="223" spans="1:19" x14ac:dyDescent="0.4">
      <c r="A223" s="42">
        <v>222</v>
      </c>
      <c r="B223" s="41">
        <f t="shared" ca="1" si="40"/>
        <v>8.0064303850041529</v>
      </c>
      <c r="C223" s="41">
        <f t="shared" ca="1" si="41"/>
        <v>4.0421105596394264</v>
      </c>
      <c r="D223" s="41">
        <f t="shared" ca="1" si="42"/>
        <v>-95.996412051682398</v>
      </c>
      <c r="E223" s="42">
        <f t="shared" ca="1" si="43"/>
        <v>-0.64542915483305996</v>
      </c>
      <c r="F223" s="42">
        <v>0.5</v>
      </c>
      <c r="G223" s="43">
        <f t="shared" ca="1" si="44"/>
        <v>7.6837158075876228</v>
      </c>
      <c r="H223" s="42">
        <f t="shared" ca="1" si="45"/>
        <v>0.56930492338470873</v>
      </c>
      <c r="I223" s="42">
        <v>0.5</v>
      </c>
      <c r="J223" s="43">
        <f t="shared" ca="1" si="46"/>
        <v>4.3267630213317805</v>
      </c>
      <c r="K223" s="43">
        <f t="shared" ca="1" si="47"/>
        <v>-95.686416165410293</v>
      </c>
      <c r="L223" s="42">
        <f t="shared" si="39"/>
        <v>6.947636618807334E-11</v>
      </c>
      <c r="M223" s="42">
        <f ca="1">K223-D223</f>
        <v>0.30999588627210528</v>
      </c>
      <c r="N223" s="42">
        <f t="shared" ca="1" si="48"/>
        <v>4461889751.5875082</v>
      </c>
      <c r="O223" s="42">
        <f t="shared" ca="1" si="49"/>
        <v>0</v>
      </c>
      <c r="P223" s="42">
        <f t="shared" ca="1" si="50"/>
        <v>3.2459225870466013E-2</v>
      </c>
      <c r="Q223" s="44">
        <f ca="1">IF(M223&lt;0,G223,IF(P223&lt;O223,G223,B223))</f>
        <v>8.0064303850041529</v>
      </c>
      <c r="R223" s="44">
        <f ca="1">IF(N223&lt;0,J223,IF(P223&lt;O223,J223,C223))</f>
        <v>4.0421105596394264</v>
      </c>
      <c r="S223" s="44">
        <f t="shared" ca="1" si="51"/>
        <v>-95.996412051682398</v>
      </c>
    </row>
    <row r="224" spans="1:19" x14ac:dyDescent="0.4">
      <c r="A224" s="42">
        <v>223</v>
      </c>
      <c r="B224" s="41">
        <f t="shared" ca="1" si="40"/>
        <v>8.0064303850041529</v>
      </c>
      <c r="C224" s="41">
        <f t="shared" ca="1" si="41"/>
        <v>4.0421105596394264</v>
      </c>
      <c r="D224" s="41">
        <f t="shared" ca="1" si="42"/>
        <v>-95.996412051682398</v>
      </c>
      <c r="E224" s="42">
        <f t="shared" ca="1" si="43"/>
        <v>0.65312424491546706</v>
      </c>
      <c r="F224" s="42">
        <v>0.5</v>
      </c>
      <c r="G224" s="43">
        <f t="shared" ca="1" si="44"/>
        <v>8.3329925074618867</v>
      </c>
      <c r="H224" s="42">
        <f t="shared" ca="1" si="45"/>
        <v>-0.94499577407943613</v>
      </c>
      <c r="I224" s="42">
        <v>0.5</v>
      </c>
      <c r="J224" s="43">
        <f t="shared" ca="1" si="46"/>
        <v>3.5696126725997086</v>
      </c>
      <c r="K224" s="43">
        <f t="shared" ca="1" si="47"/>
        <v>-95.518649486800712</v>
      </c>
      <c r="L224" s="42">
        <f t="shared" si="39"/>
        <v>6.2528729569266007E-11</v>
      </c>
      <c r="M224" s="42">
        <f ca="1">K224-D224</f>
        <v>0.47776256488168656</v>
      </c>
      <c r="N224" s="42">
        <f t="shared" ca="1" si="48"/>
        <v>7640688818.9283705</v>
      </c>
      <c r="O224" s="42">
        <f t="shared" ca="1" si="49"/>
        <v>0</v>
      </c>
      <c r="P224" s="42">
        <f t="shared" ca="1" si="50"/>
        <v>0.56775282844166819</v>
      </c>
      <c r="Q224" s="44">
        <f ca="1">IF(M224&lt;0,G224,IF(P224&lt;O224,G224,B224))</f>
        <v>8.0064303850041529</v>
      </c>
      <c r="R224" s="44">
        <f ca="1">IF(N224&lt;0,J224,IF(P224&lt;O224,J224,C224))</f>
        <v>4.0421105596394264</v>
      </c>
      <c r="S224" s="44">
        <f t="shared" ca="1" si="51"/>
        <v>-95.996412051682398</v>
      </c>
    </row>
    <row r="225" spans="1:19" x14ac:dyDescent="0.4">
      <c r="A225" s="42">
        <v>224</v>
      </c>
      <c r="B225" s="41">
        <f t="shared" ca="1" si="40"/>
        <v>8.0064303850041529</v>
      </c>
      <c r="C225" s="41">
        <f t="shared" ca="1" si="41"/>
        <v>4.0421105596394264</v>
      </c>
      <c r="D225" s="41">
        <f t="shared" ca="1" si="42"/>
        <v>-95.996412051682398</v>
      </c>
      <c r="E225" s="42">
        <f t="shared" ca="1" si="43"/>
        <v>0.87937648637348786</v>
      </c>
      <c r="F225" s="42">
        <v>0.5</v>
      </c>
      <c r="G225" s="43">
        <f t="shared" ca="1" si="44"/>
        <v>8.4461186281908969</v>
      </c>
      <c r="H225" s="42">
        <f t="shared" ca="1" si="45"/>
        <v>0.27968432726208348</v>
      </c>
      <c r="I225" s="42">
        <v>0.5</v>
      </c>
      <c r="J225" s="43">
        <f t="shared" ca="1" si="46"/>
        <v>4.1819527232704683</v>
      </c>
      <c r="K225" s="43">
        <f t="shared" ca="1" si="47"/>
        <v>-95.734764582569994</v>
      </c>
      <c r="L225" s="42">
        <f t="shared" si="39"/>
        <v>5.6275856612339413E-11</v>
      </c>
      <c r="M225" s="42">
        <f ca="1">K225-D225</f>
        <v>0.261647469112404</v>
      </c>
      <c r="N225" s="42">
        <f t="shared" ca="1" si="48"/>
        <v>4649373370.0898199</v>
      </c>
      <c r="O225" s="42">
        <f t="shared" ca="1" si="49"/>
        <v>0</v>
      </c>
      <c r="P225" s="42">
        <f t="shared" ca="1" si="50"/>
        <v>0.96123678556391856</v>
      </c>
      <c r="Q225" s="44">
        <f ca="1">IF(M225&lt;0,G225,IF(P225&lt;O225,G225,B225))</f>
        <v>8.0064303850041529</v>
      </c>
      <c r="R225" s="44">
        <f ca="1">IF(N225&lt;0,J225,IF(P225&lt;O225,J225,C225))</f>
        <v>4.0421105596394264</v>
      </c>
      <c r="S225" s="44">
        <f t="shared" ca="1" si="51"/>
        <v>-95.996412051682398</v>
      </c>
    </row>
    <row r="226" spans="1:19" x14ac:dyDescent="0.4">
      <c r="A226" s="42">
        <v>225</v>
      </c>
      <c r="B226" s="41">
        <f t="shared" ca="1" si="40"/>
        <v>8.0064303850041529</v>
      </c>
      <c r="C226" s="41">
        <f t="shared" ca="1" si="41"/>
        <v>4.0421105596394264</v>
      </c>
      <c r="D226" s="41">
        <f t="shared" ca="1" si="42"/>
        <v>-95.996412051682398</v>
      </c>
      <c r="E226" s="42">
        <f t="shared" ca="1" si="43"/>
        <v>0.39733724618938226</v>
      </c>
      <c r="F226" s="42">
        <v>0.5</v>
      </c>
      <c r="G226" s="43">
        <f t="shared" ca="1" si="44"/>
        <v>8.2050990080988448</v>
      </c>
      <c r="H226" s="42">
        <f t="shared" ca="1" si="45"/>
        <v>0.80245407831945692</v>
      </c>
      <c r="I226" s="42">
        <v>0.5</v>
      </c>
      <c r="J226" s="43">
        <f t="shared" ca="1" si="46"/>
        <v>4.4433375987991548</v>
      </c>
      <c r="K226" s="43">
        <f t="shared" ca="1" si="47"/>
        <v>-95.564837943858862</v>
      </c>
      <c r="L226" s="42">
        <f t="shared" si="39"/>
        <v>5.0648270951105475E-11</v>
      </c>
      <c r="M226" s="42">
        <f ca="1">K226-D226</f>
        <v>0.43157410782353622</v>
      </c>
      <c r="N226" s="42">
        <f t="shared" ca="1" si="48"/>
        <v>8521003772.0767736</v>
      </c>
      <c r="O226" s="42">
        <f t="shared" ca="1" si="49"/>
        <v>0</v>
      </c>
      <c r="P226" s="42">
        <f t="shared" ca="1" si="50"/>
        <v>9.4007790262299329E-2</v>
      </c>
      <c r="Q226" s="44">
        <f ca="1">IF(M226&lt;0,G226,IF(P226&lt;O226,G226,B226))</f>
        <v>8.0064303850041529</v>
      </c>
      <c r="R226" s="44">
        <f ca="1">IF(N226&lt;0,J226,IF(P226&lt;O226,J226,C226))</f>
        <v>4.0421105596394264</v>
      </c>
      <c r="S226" s="44">
        <f t="shared" ca="1" si="51"/>
        <v>-95.996412051682398</v>
      </c>
    </row>
    <row r="227" spans="1:19" x14ac:dyDescent="0.4">
      <c r="A227" s="42">
        <v>226</v>
      </c>
      <c r="B227" s="41">
        <f t="shared" ca="1" si="40"/>
        <v>8.0064303850041529</v>
      </c>
      <c r="C227" s="41">
        <f t="shared" ca="1" si="41"/>
        <v>4.0421105596394264</v>
      </c>
      <c r="D227" s="41">
        <f t="shared" ca="1" si="42"/>
        <v>-95.996412051682398</v>
      </c>
      <c r="E227" s="42">
        <f t="shared" ca="1" si="43"/>
        <v>0.55853113890571549</v>
      </c>
      <c r="F227" s="42">
        <v>0.5</v>
      </c>
      <c r="G227" s="43">
        <f t="shared" ca="1" si="44"/>
        <v>8.2856959544570099</v>
      </c>
      <c r="H227" s="42">
        <f t="shared" ca="1" si="45"/>
        <v>-6.6949393335895779E-2</v>
      </c>
      <c r="I227" s="42">
        <v>0.5</v>
      </c>
      <c r="J227" s="43">
        <f t="shared" ca="1" si="46"/>
        <v>4.0086358629714782</v>
      </c>
      <c r="K227" s="43">
        <f t="shared" ca="1" si="47"/>
        <v>-95.91822866534838</v>
      </c>
      <c r="L227" s="42">
        <f t="shared" si="39"/>
        <v>4.5583443855994929E-11</v>
      </c>
      <c r="M227" s="42">
        <f ca="1">K227-D227</f>
        <v>7.8183386334018223E-2</v>
      </c>
      <c r="N227" s="42">
        <f t="shared" ca="1" si="48"/>
        <v>1715170678.6571786</v>
      </c>
      <c r="O227" s="42">
        <f t="shared" ca="1" si="49"/>
        <v>0</v>
      </c>
      <c r="P227" s="42">
        <f t="shared" ca="1" si="50"/>
        <v>0.19477171213316502</v>
      </c>
      <c r="Q227" s="44">
        <f ca="1">IF(M227&lt;0,G227,IF(P227&lt;O227,G227,B227))</f>
        <v>8.0064303850041529</v>
      </c>
      <c r="R227" s="44">
        <f ca="1">IF(N227&lt;0,J227,IF(P227&lt;O227,J227,C227))</f>
        <v>4.0421105596394264</v>
      </c>
      <c r="S227" s="44">
        <f t="shared" ca="1" si="51"/>
        <v>-95.996412051682398</v>
      </c>
    </row>
    <row r="228" spans="1:19" x14ac:dyDescent="0.4">
      <c r="A228" s="42">
        <v>227</v>
      </c>
      <c r="B228" s="41">
        <f t="shared" ca="1" si="40"/>
        <v>8.0064303850041529</v>
      </c>
      <c r="C228" s="41">
        <f t="shared" ca="1" si="41"/>
        <v>4.0421105596394264</v>
      </c>
      <c r="D228" s="41">
        <f t="shared" ca="1" si="42"/>
        <v>-95.996412051682398</v>
      </c>
      <c r="E228" s="42">
        <f t="shared" ca="1" si="43"/>
        <v>-0.53679993490076661</v>
      </c>
      <c r="F228" s="42">
        <v>0.5</v>
      </c>
      <c r="G228" s="43">
        <f t="shared" ca="1" si="44"/>
        <v>7.7380304175537695</v>
      </c>
      <c r="H228" s="42">
        <f t="shared" ca="1" si="45"/>
        <v>0.38822651363343086</v>
      </c>
      <c r="I228" s="42">
        <v>0.5</v>
      </c>
      <c r="J228" s="43">
        <f t="shared" ca="1" si="46"/>
        <v>4.2362238164561417</v>
      </c>
      <c r="K228" s="43">
        <f t="shared" ca="1" si="47"/>
        <v>-95.819768554950741</v>
      </c>
      <c r="L228" s="42">
        <f t="shared" si="39"/>
        <v>4.1025099470395436E-11</v>
      </c>
      <c r="M228" s="42">
        <f ca="1">K228-D228</f>
        <v>0.17664349673165702</v>
      </c>
      <c r="N228" s="42">
        <f t="shared" ca="1" si="48"/>
        <v>4305742070.3909969</v>
      </c>
      <c r="O228" s="42">
        <f t="shared" ca="1" si="49"/>
        <v>0</v>
      </c>
      <c r="P228" s="42">
        <f t="shared" ca="1" si="50"/>
        <v>0.41419757400684032</v>
      </c>
      <c r="Q228" s="44">
        <f ca="1">IF(M228&lt;0,G228,IF(P228&lt;O228,G228,B228))</f>
        <v>8.0064303850041529</v>
      </c>
      <c r="R228" s="44">
        <f ca="1">IF(N228&lt;0,J228,IF(P228&lt;O228,J228,C228))</f>
        <v>4.0421105596394264</v>
      </c>
      <c r="S228" s="44">
        <f t="shared" ca="1" si="51"/>
        <v>-95.996412051682398</v>
      </c>
    </row>
    <row r="229" spans="1:19" x14ac:dyDescent="0.4">
      <c r="A229" s="42">
        <v>228</v>
      </c>
      <c r="B229" s="41">
        <f t="shared" ca="1" si="40"/>
        <v>8.0064303850041529</v>
      </c>
      <c r="C229" s="41">
        <f t="shared" ca="1" si="41"/>
        <v>4.0421105596394264</v>
      </c>
      <c r="D229" s="41">
        <f t="shared" ca="1" si="42"/>
        <v>-95.996412051682398</v>
      </c>
      <c r="E229" s="42">
        <f t="shared" ca="1" si="43"/>
        <v>-0.97706814906132178</v>
      </c>
      <c r="F229" s="42">
        <v>0.5</v>
      </c>
      <c r="G229" s="43">
        <f t="shared" ca="1" si="44"/>
        <v>7.5178963104734917</v>
      </c>
      <c r="H229" s="42">
        <f t="shared" ca="1" si="45"/>
        <v>-0.62275513550543438</v>
      </c>
      <c r="I229" s="42">
        <v>0.5</v>
      </c>
      <c r="J229" s="43">
        <f t="shared" ca="1" si="46"/>
        <v>3.7307329918867094</v>
      </c>
      <c r="K229" s="43">
        <f t="shared" ca="1" si="47"/>
        <v>-95.62256658922837</v>
      </c>
      <c r="L229" s="42">
        <f t="shared" si="39"/>
        <v>3.6922589523355896E-11</v>
      </c>
      <c r="M229" s="42">
        <f ca="1">K229-D229</f>
        <v>0.37384546245402817</v>
      </c>
      <c r="N229" s="42">
        <f t="shared" ca="1" si="48"/>
        <v>10125114930.455976</v>
      </c>
      <c r="O229" s="42">
        <f t="shared" ca="1" si="49"/>
        <v>0</v>
      </c>
      <c r="P229" s="42">
        <f t="shared" ca="1" si="50"/>
        <v>0.78911598843439557</v>
      </c>
      <c r="Q229" s="44">
        <f ca="1">IF(M229&lt;0,G229,IF(P229&lt;O229,G229,B229))</f>
        <v>8.0064303850041529</v>
      </c>
      <c r="R229" s="44">
        <f ca="1">IF(N229&lt;0,J229,IF(P229&lt;O229,J229,C229))</f>
        <v>4.0421105596394264</v>
      </c>
      <c r="S229" s="44">
        <f t="shared" ca="1" si="51"/>
        <v>-95.996412051682398</v>
      </c>
    </row>
    <row r="230" spans="1:19" x14ac:dyDescent="0.4">
      <c r="A230" s="42">
        <v>229</v>
      </c>
      <c r="B230" s="41">
        <f t="shared" ca="1" si="40"/>
        <v>8.0064303850041529</v>
      </c>
      <c r="C230" s="41">
        <f t="shared" ca="1" si="41"/>
        <v>4.0421105596394264</v>
      </c>
      <c r="D230" s="41">
        <f t="shared" ca="1" si="42"/>
        <v>-95.996412051682398</v>
      </c>
      <c r="E230" s="42">
        <f t="shared" ca="1" si="43"/>
        <v>-7.1863434466045151E-2</v>
      </c>
      <c r="F230" s="42">
        <v>0.5</v>
      </c>
      <c r="G230" s="43">
        <f t="shared" ca="1" si="44"/>
        <v>7.97049866777113</v>
      </c>
      <c r="H230" s="42">
        <f t="shared" ca="1" si="45"/>
        <v>0.28724889577420432</v>
      </c>
      <c r="I230" s="42">
        <v>0.5</v>
      </c>
      <c r="J230" s="43">
        <f t="shared" ca="1" si="46"/>
        <v>4.1857350075265289</v>
      </c>
      <c r="K230" s="43">
        <f t="shared" ca="1" si="47"/>
        <v>-95.930134685354972</v>
      </c>
      <c r="L230" s="42">
        <f t="shared" si="39"/>
        <v>3.323033057102031E-11</v>
      </c>
      <c r="M230" s="42">
        <f ca="1">K230-D230</f>
        <v>6.6277366327426535E-2</v>
      </c>
      <c r="N230" s="42">
        <f t="shared" ca="1" si="48"/>
        <v>1994484111.0074923</v>
      </c>
      <c r="O230" s="42">
        <f t="shared" ca="1" si="49"/>
        <v>0</v>
      </c>
      <c r="P230" s="42">
        <f t="shared" ca="1" si="50"/>
        <v>0.92709327381963103</v>
      </c>
      <c r="Q230" s="44">
        <f ca="1">IF(M230&lt;0,G230,IF(P230&lt;O230,G230,B230))</f>
        <v>8.0064303850041529</v>
      </c>
      <c r="R230" s="44">
        <f ca="1">IF(N230&lt;0,J230,IF(P230&lt;O230,J230,C230))</f>
        <v>4.0421105596394264</v>
      </c>
      <c r="S230" s="44">
        <f t="shared" ca="1" si="51"/>
        <v>-95.996412051682398</v>
      </c>
    </row>
    <row r="231" spans="1:19" x14ac:dyDescent="0.4">
      <c r="A231" s="42">
        <v>230</v>
      </c>
      <c r="B231" s="41">
        <f t="shared" ca="1" si="40"/>
        <v>8.0064303850041529</v>
      </c>
      <c r="C231" s="41">
        <f t="shared" ca="1" si="41"/>
        <v>4.0421105596394264</v>
      </c>
      <c r="D231" s="41">
        <f t="shared" ca="1" si="42"/>
        <v>-95.996412051682398</v>
      </c>
      <c r="E231" s="42">
        <f t="shared" ca="1" si="43"/>
        <v>0.95063740776223526</v>
      </c>
      <c r="F231" s="42">
        <v>0.5</v>
      </c>
      <c r="G231" s="43">
        <f t="shared" ca="1" si="44"/>
        <v>8.4817490888852713</v>
      </c>
      <c r="H231" s="42">
        <f t="shared" ca="1" si="45"/>
        <v>0.96224523724880684</v>
      </c>
      <c r="I231" s="42">
        <v>0.5</v>
      </c>
      <c r="J231" s="43">
        <f t="shared" ca="1" si="46"/>
        <v>4.5232331782638298</v>
      </c>
      <c r="K231" s="43">
        <f t="shared" ca="1" si="47"/>
        <v>-95.220371897686078</v>
      </c>
      <c r="L231" s="42">
        <f t="shared" si="39"/>
        <v>2.9907297513918274E-11</v>
      </c>
      <c r="M231" s="42">
        <f ca="1">K231-D231</f>
        <v>0.77604015399631976</v>
      </c>
      <c r="N231" s="42">
        <f t="shared" ca="1" si="48"/>
        <v>25948187181.913235</v>
      </c>
      <c r="O231" s="42">
        <f t="shared" ca="1" si="49"/>
        <v>0</v>
      </c>
      <c r="P231" s="42">
        <f t="shared" ca="1" si="50"/>
        <v>0.49366818804073254</v>
      </c>
      <c r="Q231" s="44">
        <f ca="1">IF(M231&lt;0,G231,IF(P231&lt;O231,G231,B231))</f>
        <v>8.0064303850041529</v>
      </c>
      <c r="R231" s="44">
        <f ca="1">IF(N231&lt;0,J231,IF(P231&lt;O231,J231,C231))</f>
        <v>4.0421105596394264</v>
      </c>
      <c r="S231" s="44">
        <f t="shared" ca="1" si="51"/>
        <v>-95.996412051682398</v>
      </c>
    </row>
    <row r="232" spans="1:19" x14ac:dyDescent="0.4">
      <c r="A232" s="42">
        <v>231</v>
      </c>
      <c r="B232" s="41">
        <f t="shared" ca="1" si="40"/>
        <v>8.0064303850041529</v>
      </c>
      <c r="C232" s="41">
        <f t="shared" ca="1" si="41"/>
        <v>4.0421105596394264</v>
      </c>
      <c r="D232" s="41">
        <f t="shared" ca="1" si="42"/>
        <v>-95.996412051682398</v>
      </c>
      <c r="E232" s="42">
        <f t="shared" ca="1" si="43"/>
        <v>-0.90114366847642913</v>
      </c>
      <c r="F232" s="42">
        <v>0.5</v>
      </c>
      <c r="G232" s="43">
        <f t="shared" ca="1" si="44"/>
        <v>7.5558585507659384</v>
      </c>
      <c r="H232" s="42">
        <f t="shared" ca="1" si="45"/>
        <v>0.4847034481489656</v>
      </c>
      <c r="I232" s="42">
        <v>0.5</v>
      </c>
      <c r="J232" s="43">
        <f t="shared" ca="1" si="46"/>
        <v>4.2844622837139088</v>
      </c>
      <c r="K232" s="43">
        <f t="shared" ca="1" si="47"/>
        <v>-95.640900791360792</v>
      </c>
      <c r="L232" s="42">
        <f t="shared" si="39"/>
        <v>2.6916567762526449E-11</v>
      </c>
      <c r="M232" s="42">
        <f ca="1">K232-D232</f>
        <v>0.35551126032160596</v>
      </c>
      <c r="N232" s="42">
        <f t="shared" ca="1" si="48"/>
        <v>13207897212.532156</v>
      </c>
      <c r="O232" s="42">
        <f t="shared" ca="1" si="49"/>
        <v>0</v>
      </c>
      <c r="P232" s="42">
        <f t="shared" ca="1" si="50"/>
        <v>0.27655636429833441</v>
      </c>
      <c r="Q232" s="44">
        <f ca="1">IF(M232&lt;0,G232,IF(P232&lt;O232,G232,B232))</f>
        <v>8.0064303850041529</v>
      </c>
      <c r="R232" s="44">
        <f ca="1">IF(N232&lt;0,J232,IF(P232&lt;O232,J232,C232))</f>
        <v>4.0421105596394264</v>
      </c>
      <c r="S232" s="44">
        <f t="shared" ca="1" si="51"/>
        <v>-95.996412051682398</v>
      </c>
    </row>
    <row r="233" spans="1:19" x14ac:dyDescent="0.4">
      <c r="A233" s="42">
        <v>232</v>
      </c>
      <c r="B233" s="41">
        <f t="shared" ca="1" si="40"/>
        <v>8.0064303850041529</v>
      </c>
      <c r="C233" s="41">
        <f t="shared" ca="1" si="41"/>
        <v>4.0421105596394264</v>
      </c>
      <c r="D233" s="41">
        <f t="shared" ca="1" si="42"/>
        <v>-95.996412051682398</v>
      </c>
      <c r="E233" s="42">
        <f t="shared" ca="1" si="43"/>
        <v>6.9915080683102149E-2</v>
      </c>
      <c r="F233" s="42">
        <v>0.5</v>
      </c>
      <c r="G233" s="43">
        <f t="shared" ca="1" si="44"/>
        <v>8.0413879253457043</v>
      </c>
      <c r="H233" s="42">
        <f t="shared" ca="1" si="45"/>
        <v>-0.59731932236256058</v>
      </c>
      <c r="I233" s="42">
        <v>0.5</v>
      </c>
      <c r="J233" s="43">
        <f t="shared" ca="1" si="46"/>
        <v>3.7434508984581463</v>
      </c>
      <c r="K233" s="43">
        <f t="shared" ca="1" si="47"/>
        <v>-95.866652156631716</v>
      </c>
      <c r="L233" s="42">
        <f t="shared" si="39"/>
        <v>2.4224910986273803E-11</v>
      </c>
      <c r="M233" s="42">
        <f ca="1">K233-D233</f>
        <v>0.12975989505068242</v>
      </c>
      <c r="N233" s="42">
        <f t="shared" ca="1" si="48"/>
        <v>5356465298.2298393</v>
      </c>
      <c r="O233" s="42">
        <f t="shared" ca="1" si="49"/>
        <v>0</v>
      </c>
      <c r="P233" s="42">
        <f t="shared" ca="1" si="50"/>
        <v>0.83192484850594184</v>
      </c>
      <c r="Q233" s="44">
        <f ca="1">IF(M233&lt;0,G233,IF(P233&lt;O233,G233,B233))</f>
        <v>8.0064303850041529</v>
      </c>
      <c r="R233" s="44">
        <f ca="1">IF(N233&lt;0,J233,IF(P233&lt;O233,J233,C233))</f>
        <v>4.0421105596394264</v>
      </c>
      <c r="S233" s="44">
        <f t="shared" ca="1" si="51"/>
        <v>-95.996412051682398</v>
      </c>
    </row>
    <row r="234" spans="1:19" x14ac:dyDescent="0.4">
      <c r="A234" s="42">
        <v>233</v>
      </c>
      <c r="B234" s="41">
        <f t="shared" ca="1" si="40"/>
        <v>8.0064303850041529</v>
      </c>
      <c r="C234" s="41">
        <f t="shared" ca="1" si="41"/>
        <v>4.0421105596394264</v>
      </c>
      <c r="D234" s="41">
        <f t="shared" ca="1" si="42"/>
        <v>-95.996412051682398</v>
      </c>
      <c r="E234" s="42">
        <f t="shared" ca="1" si="43"/>
        <v>0.21664272608498703</v>
      </c>
      <c r="F234" s="42">
        <v>0.5</v>
      </c>
      <c r="G234" s="43">
        <f t="shared" ca="1" si="44"/>
        <v>8.1147517480466469</v>
      </c>
      <c r="H234" s="42">
        <f t="shared" ca="1" si="45"/>
        <v>8.9635042660189512E-2</v>
      </c>
      <c r="I234" s="42">
        <v>0.5</v>
      </c>
      <c r="J234" s="43">
        <f t="shared" ca="1" si="46"/>
        <v>4.0869280809695212</v>
      </c>
      <c r="K234" s="43">
        <f t="shared" ca="1" si="47"/>
        <v>-95.971719053798154</v>
      </c>
      <c r="L234" s="42">
        <f t="shared" si="39"/>
        <v>2.1802419887646429E-11</v>
      </c>
      <c r="M234" s="42">
        <f ca="1">K234-D234</f>
        <v>2.4692997884244505E-2</v>
      </c>
      <c r="N234" s="42">
        <f t="shared" ca="1" si="48"/>
        <v>1132580603.9647884</v>
      </c>
      <c r="O234" s="42">
        <f t="shared" ca="1" si="49"/>
        <v>0</v>
      </c>
      <c r="P234" s="42">
        <f t="shared" ca="1" si="50"/>
        <v>0.63594028346077658</v>
      </c>
      <c r="Q234" s="44">
        <f ca="1">IF(M234&lt;0,G234,IF(P234&lt;O234,G234,B234))</f>
        <v>8.0064303850041529</v>
      </c>
      <c r="R234" s="44">
        <f ca="1">IF(N234&lt;0,J234,IF(P234&lt;O234,J234,C234))</f>
        <v>4.0421105596394264</v>
      </c>
      <c r="S234" s="44">
        <f t="shared" ca="1" si="51"/>
        <v>-95.996412051682398</v>
      </c>
    </row>
    <row r="235" spans="1:19" x14ac:dyDescent="0.4">
      <c r="A235" s="42">
        <v>234</v>
      </c>
      <c r="B235" s="41">
        <f t="shared" ca="1" si="40"/>
        <v>8.0064303850041529</v>
      </c>
      <c r="C235" s="41">
        <f t="shared" ca="1" si="41"/>
        <v>4.0421105596394264</v>
      </c>
      <c r="D235" s="41">
        <f t="shared" ca="1" si="42"/>
        <v>-95.996412051682398</v>
      </c>
      <c r="E235" s="42">
        <f t="shared" ca="1" si="43"/>
        <v>0.58470902041944961</v>
      </c>
      <c r="F235" s="42">
        <v>0.5</v>
      </c>
      <c r="G235" s="43">
        <f t="shared" ca="1" si="44"/>
        <v>8.2987848952138776</v>
      </c>
      <c r="H235" s="42">
        <f t="shared" ca="1" si="45"/>
        <v>-0.46338339697390118</v>
      </c>
      <c r="I235" s="42">
        <v>0.5</v>
      </c>
      <c r="J235" s="43">
        <f t="shared" ca="1" si="46"/>
        <v>3.8104188611524759</v>
      </c>
      <c r="K235" s="43">
        <f t="shared" ca="1" si="47"/>
        <v>-95.838845569978588</v>
      </c>
      <c r="L235" s="42">
        <f t="shared" si="39"/>
        <v>1.9622177898881787E-11</v>
      </c>
      <c r="M235" s="42">
        <f ca="1">K235-D235</f>
        <v>0.15756648170381027</v>
      </c>
      <c r="N235" s="42">
        <f t="shared" ca="1" si="48"/>
        <v>8030020037.3165274</v>
      </c>
      <c r="O235" s="42">
        <f t="shared" ca="1" si="49"/>
        <v>0</v>
      </c>
      <c r="P235" s="42">
        <f t="shared" ca="1" si="50"/>
        <v>0.56816110848789958</v>
      </c>
      <c r="Q235" s="44">
        <f ca="1">IF(M235&lt;0,G235,IF(P235&lt;O235,G235,B235))</f>
        <v>8.0064303850041529</v>
      </c>
      <c r="R235" s="44">
        <f ca="1">IF(N235&lt;0,J235,IF(P235&lt;O235,J235,C235))</f>
        <v>4.0421105596394264</v>
      </c>
      <c r="S235" s="44">
        <f t="shared" ca="1" si="51"/>
        <v>-95.996412051682398</v>
      </c>
    </row>
    <row r="236" spans="1:19" x14ac:dyDescent="0.4">
      <c r="A236" s="42">
        <v>235</v>
      </c>
      <c r="B236" s="41">
        <f t="shared" ca="1" si="40"/>
        <v>8.0064303850041529</v>
      </c>
      <c r="C236" s="41">
        <f t="shared" ca="1" si="41"/>
        <v>4.0421105596394264</v>
      </c>
      <c r="D236" s="41">
        <f t="shared" ca="1" si="42"/>
        <v>-95.996412051682398</v>
      </c>
      <c r="E236" s="42">
        <f t="shared" ca="1" si="43"/>
        <v>0.3692923970651949</v>
      </c>
      <c r="F236" s="42">
        <v>0.5</v>
      </c>
      <c r="G236" s="43">
        <f t="shared" ca="1" si="44"/>
        <v>8.1910765835367503</v>
      </c>
      <c r="H236" s="42">
        <f t="shared" ca="1" si="45"/>
        <v>0.62751784099012298</v>
      </c>
      <c r="I236" s="42">
        <v>0.5</v>
      </c>
      <c r="J236" s="43">
        <f t="shared" ca="1" si="46"/>
        <v>4.3558694801344879</v>
      </c>
      <c r="K236" s="43">
        <f t="shared" ca="1" si="47"/>
        <v>-95.710203565441532</v>
      </c>
      <c r="L236" s="42">
        <f t="shared" si="39"/>
        <v>1.7659960108993608E-11</v>
      </c>
      <c r="M236" s="42">
        <f ca="1">K236-D236</f>
        <v>0.28620848624086648</v>
      </c>
      <c r="N236" s="42">
        <f t="shared" ca="1" si="48"/>
        <v>16206632657.970182</v>
      </c>
      <c r="O236" s="42">
        <f t="shared" ca="1" si="49"/>
        <v>0</v>
      </c>
      <c r="P236" s="42">
        <f t="shared" ca="1" si="50"/>
        <v>0.64986694392402122</v>
      </c>
      <c r="Q236" s="44">
        <f ca="1">IF(M236&lt;0,G236,IF(P236&lt;O236,G236,B236))</f>
        <v>8.0064303850041529</v>
      </c>
      <c r="R236" s="44">
        <f ca="1">IF(N236&lt;0,J236,IF(P236&lt;O236,J236,C236))</f>
        <v>4.0421105596394264</v>
      </c>
      <c r="S236" s="44">
        <f t="shared" ca="1" si="51"/>
        <v>-95.996412051682398</v>
      </c>
    </row>
    <row r="237" spans="1:19" x14ac:dyDescent="0.4">
      <c r="A237" s="42">
        <v>236</v>
      </c>
      <c r="B237" s="41">
        <f t="shared" ca="1" si="40"/>
        <v>8.0064303850041529</v>
      </c>
      <c r="C237" s="41">
        <f t="shared" ca="1" si="41"/>
        <v>4.0421105596394264</v>
      </c>
      <c r="D237" s="41">
        <f t="shared" ca="1" si="42"/>
        <v>-95.996412051682398</v>
      </c>
      <c r="E237" s="42">
        <f t="shared" ca="1" si="43"/>
        <v>-0.92560817800707906</v>
      </c>
      <c r="F237" s="42">
        <v>0.5</v>
      </c>
      <c r="G237" s="43">
        <f t="shared" ca="1" si="44"/>
        <v>7.5436262960006131</v>
      </c>
      <c r="H237" s="42">
        <f t="shared" ca="1" si="45"/>
        <v>-0.70831192405144949</v>
      </c>
      <c r="I237" s="42">
        <v>0.5</v>
      </c>
      <c r="J237" s="43">
        <f t="shared" ca="1" si="46"/>
        <v>3.6879545976137016</v>
      </c>
      <c r="K237" s="43">
        <f t="shared" ca="1" si="47"/>
        <v>-95.596978375997026</v>
      </c>
      <c r="L237" s="42">
        <f t="shared" si="39"/>
        <v>1.5893964098094247E-11</v>
      </c>
      <c r="M237" s="42">
        <f ca="1">K237-D237</f>
        <v>0.39943367568537269</v>
      </c>
      <c r="N237" s="42">
        <f t="shared" ca="1" si="48"/>
        <v>25131155023.388184</v>
      </c>
      <c r="O237" s="42">
        <f t="shared" ca="1" si="49"/>
        <v>0</v>
      </c>
      <c r="P237" s="42">
        <f t="shared" ca="1" si="50"/>
        <v>0.64787106509895875</v>
      </c>
      <c r="Q237" s="44">
        <f ca="1">IF(M237&lt;0,G237,IF(P237&lt;O237,G237,B237))</f>
        <v>8.0064303850041529</v>
      </c>
      <c r="R237" s="44">
        <f ca="1">IF(N237&lt;0,J237,IF(P237&lt;O237,J237,C237))</f>
        <v>4.0421105596394264</v>
      </c>
      <c r="S237" s="44">
        <f t="shared" ca="1" si="51"/>
        <v>-95.996412051682398</v>
      </c>
    </row>
    <row r="238" spans="1:19" x14ac:dyDescent="0.4">
      <c r="A238" s="42">
        <v>237</v>
      </c>
      <c r="B238" s="41">
        <f t="shared" ca="1" si="40"/>
        <v>8.0064303850041529</v>
      </c>
      <c r="C238" s="41">
        <f t="shared" ca="1" si="41"/>
        <v>4.0421105596394264</v>
      </c>
      <c r="D238" s="41">
        <f t="shared" ca="1" si="42"/>
        <v>-95.996412051682398</v>
      </c>
      <c r="E238" s="42">
        <f t="shared" ca="1" si="43"/>
        <v>0.4025052218151135</v>
      </c>
      <c r="F238" s="42">
        <v>0.5</v>
      </c>
      <c r="G238" s="43">
        <f t="shared" ca="1" si="44"/>
        <v>8.2076829959117106</v>
      </c>
      <c r="H238" s="42">
        <f t="shared" ca="1" si="45"/>
        <v>0.77820389000670387</v>
      </c>
      <c r="I238" s="42">
        <v>0.5</v>
      </c>
      <c r="J238" s="43">
        <f t="shared" ca="1" si="46"/>
        <v>4.4312125046427786</v>
      </c>
      <c r="K238" s="43">
        <f t="shared" ca="1" si="47"/>
        <v>-95.584979324888536</v>
      </c>
      <c r="L238" s="42">
        <f t="shared" si="39"/>
        <v>1.4304567688284829E-11</v>
      </c>
      <c r="M238" s="42">
        <f ca="1">K238-D238</f>
        <v>0.411432726793862</v>
      </c>
      <c r="N238" s="42">
        <f t="shared" ca="1" si="48"/>
        <v>28762332127.717335</v>
      </c>
      <c r="O238" s="42">
        <f t="shared" ca="1" si="49"/>
        <v>0</v>
      </c>
      <c r="P238" s="42">
        <f t="shared" ca="1" si="50"/>
        <v>0.59511642810992449</v>
      </c>
      <c r="Q238" s="44">
        <f ca="1">IF(M238&lt;0,G238,IF(P238&lt;O238,G238,B238))</f>
        <v>8.0064303850041529</v>
      </c>
      <c r="R238" s="44">
        <f ca="1">IF(N238&lt;0,J238,IF(P238&lt;O238,J238,C238))</f>
        <v>4.0421105596394264</v>
      </c>
      <c r="S238" s="44">
        <f t="shared" ca="1" si="51"/>
        <v>-95.996412051682398</v>
      </c>
    </row>
    <row r="239" spans="1:19" x14ac:dyDescent="0.4">
      <c r="A239" s="42">
        <v>238</v>
      </c>
      <c r="B239" s="41">
        <f t="shared" ca="1" si="40"/>
        <v>8.0064303850041529</v>
      </c>
      <c r="C239" s="41">
        <f t="shared" ca="1" si="41"/>
        <v>4.0421105596394264</v>
      </c>
      <c r="D239" s="41">
        <f t="shared" ca="1" si="42"/>
        <v>-95.996412051682398</v>
      </c>
      <c r="E239" s="42">
        <f t="shared" ca="1" si="43"/>
        <v>7.5370515545828187E-2</v>
      </c>
      <c r="F239" s="42">
        <v>0.5</v>
      </c>
      <c r="G239" s="43">
        <f t="shared" ca="1" si="44"/>
        <v>8.0441156427770668</v>
      </c>
      <c r="H239" s="42">
        <f t="shared" ca="1" si="45"/>
        <v>0.43449263758617462</v>
      </c>
      <c r="I239" s="42">
        <v>0.5</v>
      </c>
      <c r="J239" s="43">
        <f t="shared" ca="1" si="46"/>
        <v>4.2593568784325138</v>
      </c>
      <c r="K239" s="43">
        <f t="shared" ca="1" si="47"/>
        <v>-95.863521829281865</v>
      </c>
      <c r="L239" s="42">
        <f t="shared" si="39"/>
        <v>1.2874110919456341E-11</v>
      </c>
      <c r="M239" s="42">
        <f ca="1">K239-D239</f>
        <v>0.13289022240053328</v>
      </c>
      <c r="N239" s="42">
        <f t="shared" ca="1" si="48"/>
        <v>10322283475.101912</v>
      </c>
      <c r="O239" s="42">
        <f t="shared" ca="1" si="49"/>
        <v>0</v>
      </c>
      <c r="P239" s="42">
        <f t="shared" ca="1" si="50"/>
        <v>9.8452025608370186E-2</v>
      </c>
      <c r="Q239" s="44">
        <f ca="1">IF(M239&lt;0,G239,IF(P239&lt;O239,G239,B239))</f>
        <v>8.0064303850041529</v>
      </c>
      <c r="R239" s="44">
        <f ca="1">IF(N239&lt;0,J239,IF(P239&lt;O239,J239,C239))</f>
        <v>4.0421105596394264</v>
      </c>
      <c r="S239" s="44">
        <f t="shared" ca="1" si="51"/>
        <v>-95.996412051682398</v>
      </c>
    </row>
    <row r="240" spans="1:19" x14ac:dyDescent="0.4">
      <c r="A240" s="42">
        <v>239</v>
      </c>
      <c r="B240" s="41">
        <f t="shared" ca="1" si="40"/>
        <v>8.0064303850041529</v>
      </c>
      <c r="C240" s="41">
        <f t="shared" ca="1" si="41"/>
        <v>4.0421105596394264</v>
      </c>
      <c r="D240" s="41">
        <f t="shared" ca="1" si="42"/>
        <v>-95.996412051682398</v>
      </c>
      <c r="E240" s="42">
        <f t="shared" ca="1" si="43"/>
        <v>5.9573227832041775E-2</v>
      </c>
      <c r="F240" s="42">
        <v>0.5</v>
      </c>
      <c r="G240" s="43">
        <f t="shared" ca="1" si="44"/>
        <v>8.0362169989201746</v>
      </c>
      <c r="H240" s="42">
        <f t="shared" ca="1" si="45"/>
        <v>-0.38280993482211345</v>
      </c>
      <c r="I240" s="42">
        <v>0.5</v>
      </c>
      <c r="J240" s="43">
        <f t="shared" ca="1" si="46"/>
        <v>3.8507055922283699</v>
      </c>
      <c r="K240" s="43">
        <f t="shared" ca="1" si="47"/>
        <v>-95.954110688605454</v>
      </c>
      <c r="L240" s="42">
        <f t="shared" si="39"/>
        <v>1.1586699827510709E-11</v>
      </c>
      <c r="M240" s="42">
        <f ca="1">K240-D240</f>
        <v>4.2301363076944654E-2</v>
      </c>
      <c r="N240" s="42">
        <f t="shared" ca="1" si="48"/>
        <v>3650855179.3589268</v>
      </c>
      <c r="O240" s="42">
        <f t="shared" ca="1" si="49"/>
        <v>0</v>
      </c>
      <c r="P240" s="42">
        <f t="shared" ca="1" si="50"/>
        <v>0.74119548081767861</v>
      </c>
      <c r="Q240" s="44">
        <f ca="1">IF(M240&lt;0,G240,IF(P240&lt;O240,G240,B240))</f>
        <v>8.0064303850041529</v>
      </c>
      <c r="R240" s="44">
        <f ca="1">IF(N240&lt;0,J240,IF(P240&lt;O240,J240,C240))</f>
        <v>4.0421105596394264</v>
      </c>
      <c r="S240" s="44">
        <f t="shared" ca="1" si="51"/>
        <v>-95.996412051682398</v>
      </c>
    </row>
    <row r="241" spans="1:19" x14ac:dyDescent="0.4">
      <c r="A241" s="42">
        <v>240</v>
      </c>
      <c r="B241" s="41">
        <f t="shared" ca="1" si="40"/>
        <v>8.0064303850041529</v>
      </c>
      <c r="C241" s="41">
        <f t="shared" ca="1" si="41"/>
        <v>4.0421105596394264</v>
      </c>
      <c r="D241" s="41">
        <f t="shared" ca="1" si="42"/>
        <v>-95.996412051682398</v>
      </c>
      <c r="E241" s="42">
        <f t="shared" ca="1" si="43"/>
        <v>0.97840864504213054</v>
      </c>
      <c r="F241" s="42">
        <v>0.5</v>
      </c>
      <c r="G241" s="43">
        <f t="shared" ca="1" si="44"/>
        <v>8.4956347075252179</v>
      </c>
      <c r="H241" s="42">
        <f t="shared" ca="1" si="45"/>
        <v>0.93256134650884692</v>
      </c>
      <c r="I241" s="42">
        <v>0.5</v>
      </c>
      <c r="J241" s="43">
        <f t="shared" ca="1" si="46"/>
        <v>4.5083912328938496</v>
      </c>
      <c r="K241" s="43">
        <f t="shared" ca="1" si="47"/>
        <v>-95.23742294532974</v>
      </c>
      <c r="L241" s="42">
        <f t="shared" si="39"/>
        <v>1.0428029844759639E-11</v>
      </c>
      <c r="M241" s="42">
        <f ca="1">K241-D241</f>
        <v>0.75898910635265793</v>
      </c>
      <c r="N241" s="42">
        <f t="shared" ca="1" si="48"/>
        <v>72783557167.710831</v>
      </c>
      <c r="O241" s="42">
        <f t="shared" ca="1" si="49"/>
        <v>0</v>
      </c>
      <c r="P241" s="42">
        <f t="shared" ca="1" si="50"/>
        <v>0.72359616542910732</v>
      </c>
      <c r="Q241" s="44">
        <f ca="1">IF(M241&lt;0,G241,IF(P241&lt;O241,G241,B241))</f>
        <v>8.0064303850041529</v>
      </c>
      <c r="R241" s="44">
        <f ca="1">IF(N241&lt;0,J241,IF(P241&lt;O241,J241,C241))</f>
        <v>4.0421105596394264</v>
      </c>
      <c r="S241" s="44">
        <f t="shared" ca="1" si="51"/>
        <v>-95.996412051682398</v>
      </c>
    </row>
    <row r="242" spans="1:19" x14ac:dyDescent="0.4">
      <c r="A242" s="42">
        <v>241</v>
      </c>
      <c r="B242" s="41">
        <f t="shared" ca="1" si="40"/>
        <v>8.0064303850041529</v>
      </c>
      <c r="C242" s="41">
        <f t="shared" ca="1" si="41"/>
        <v>4.0421105596394264</v>
      </c>
      <c r="D242" s="41">
        <f t="shared" ca="1" si="42"/>
        <v>-95.996412051682398</v>
      </c>
      <c r="E242" s="42">
        <f t="shared" ca="1" si="43"/>
        <v>-0.3538948584287811</v>
      </c>
      <c r="F242" s="42">
        <v>0.5</v>
      </c>
      <c r="G242" s="43">
        <f t="shared" ca="1" si="44"/>
        <v>7.8294829557897625</v>
      </c>
      <c r="H242" s="42">
        <f t="shared" ca="1" si="45"/>
        <v>-0.9726503032913496</v>
      </c>
      <c r="I242" s="42">
        <v>0.5</v>
      </c>
      <c r="J242" s="43">
        <f t="shared" ca="1" si="46"/>
        <v>3.5557854079937519</v>
      </c>
      <c r="K242" s="43">
        <f t="shared" ca="1" si="47"/>
        <v>-95.576270730131256</v>
      </c>
      <c r="L242" s="42">
        <f t="shared" si="39"/>
        <v>9.385226860283676E-12</v>
      </c>
      <c r="M242" s="42">
        <f ca="1">K242-D242</f>
        <v>0.42014132155114225</v>
      </c>
      <c r="N242" s="42">
        <f t="shared" ca="1" si="48"/>
        <v>44766240369.648682</v>
      </c>
      <c r="O242" s="42">
        <f t="shared" ca="1" si="49"/>
        <v>0</v>
      </c>
      <c r="P242" s="42">
        <f t="shared" ca="1" si="50"/>
        <v>3.8413312730883664E-2</v>
      </c>
      <c r="Q242" s="44">
        <f ca="1">IF(M242&lt;0,G242,IF(P242&lt;O242,G242,B242))</f>
        <v>8.0064303850041529</v>
      </c>
      <c r="R242" s="44">
        <f ca="1">IF(N242&lt;0,J242,IF(P242&lt;O242,J242,C242))</f>
        <v>4.0421105596394264</v>
      </c>
      <c r="S242" s="44">
        <f t="shared" ca="1" si="51"/>
        <v>-95.996412051682398</v>
      </c>
    </row>
    <row r="243" spans="1:19" x14ac:dyDescent="0.4">
      <c r="A243" s="42">
        <v>242</v>
      </c>
      <c r="B243" s="41">
        <f t="shared" ca="1" si="40"/>
        <v>8.0064303850041529</v>
      </c>
      <c r="C243" s="41">
        <f t="shared" ca="1" si="41"/>
        <v>4.0421105596394264</v>
      </c>
      <c r="D243" s="41">
        <f t="shared" ca="1" si="42"/>
        <v>-95.996412051682398</v>
      </c>
      <c r="E243" s="42">
        <f t="shared" ca="1" si="43"/>
        <v>0.81332068785707268</v>
      </c>
      <c r="F243" s="42">
        <v>0.5</v>
      </c>
      <c r="G243" s="43">
        <f t="shared" ca="1" si="44"/>
        <v>8.4130907289326888</v>
      </c>
      <c r="H243" s="42">
        <f t="shared" ca="1" si="45"/>
        <v>-0.59084172902875265</v>
      </c>
      <c r="I243" s="42">
        <v>0.5</v>
      </c>
      <c r="J243" s="43">
        <f t="shared" ca="1" si="46"/>
        <v>3.7466896951250499</v>
      </c>
      <c r="K243" s="43">
        <f t="shared" ca="1" si="47"/>
        <v>-95.701023828558178</v>
      </c>
      <c r="L243" s="42">
        <f t="shared" si="39"/>
        <v>8.4467041742553051E-12</v>
      </c>
      <c r="M243" s="42">
        <f ca="1">K243-D243</f>
        <v>0.29538822312422042</v>
      </c>
      <c r="N243" s="42">
        <f t="shared" ca="1" si="48"/>
        <v>34970826138.854683</v>
      </c>
      <c r="O243" s="42">
        <f t="shared" ca="1" si="49"/>
        <v>0</v>
      </c>
      <c r="P243" s="42">
        <f t="shared" ca="1" si="50"/>
        <v>0.71033221786841072</v>
      </c>
      <c r="Q243" s="44">
        <f ca="1">IF(M243&lt;0,G243,IF(P243&lt;O243,G243,B243))</f>
        <v>8.0064303850041529</v>
      </c>
      <c r="R243" s="44">
        <f ca="1">IF(N243&lt;0,J243,IF(P243&lt;O243,J243,C243))</f>
        <v>4.0421105596394264</v>
      </c>
      <c r="S243" s="44">
        <f t="shared" ca="1" si="51"/>
        <v>-95.996412051682398</v>
      </c>
    </row>
    <row r="244" spans="1:19" x14ac:dyDescent="0.4">
      <c r="A244" s="42">
        <v>243</v>
      </c>
      <c r="B244" s="41">
        <f t="shared" ca="1" si="40"/>
        <v>8.0064303850041529</v>
      </c>
      <c r="C244" s="41">
        <f t="shared" ca="1" si="41"/>
        <v>4.0421105596394264</v>
      </c>
      <c r="D244" s="41">
        <f t="shared" ca="1" si="42"/>
        <v>-95.996412051682398</v>
      </c>
      <c r="E244" s="42">
        <f t="shared" ca="1" si="43"/>
        <v>-0.74152656084139479</v>
      </c>
      <c r="F244" s="42">
        <v>0.5</v>
      </c>
      <c r="G244" s="43">
        <f t="shared" ca="1" si="44"/>
        <v>7.6356671045834554</v>
      </c>
      <c r="H244" s="42">
        <f t="shared" ca="1" si="45"/>
        <v>-0.38259525227961966</v>
      </c>
      <c r="I244" s="42">
        <v>0.5</v>
      </c>
      <c r="J244" s="43">
        <f t="shared" ca="1" si="46"/>
        <v>3.8508129334996166</v>
      </c>
      <c r="K244" s="43">
        <f t="shared" ca="1" si="47"/>
        <v>-95.822747979695421</v>
      </c>
      <c r="L244" s="42">
        <f t="shared" si="39"/>
        <v>7.6020337568297777E-12</v>
      </c>
      <c r="M244" s="42">
        <f ca="1">K244-D244</f>
        <v>0.17366407198697686</v>
      </c>
      <c r="N244" s="42">
        <f t="shared" ca="1" si="48"/>
        <v>22844422629.793579</v>
      </c>
      <c r="O244" s="42">
        <f t="shared" ca="1" si="49"/>
        <v>0</v>
      </c>
      <c r="P244" s="42">
        <f t="shared" ca="1" si="50"/>
        <v>0.41961815955699322</v>
      </c>
      <c r="Q244" s="44">
        <f ca="1">IF(M244&lt;0,G244,IF(P244&lt;O244,G244,B244))</f>
        <v>8.0064303850041529</v>
      </c>
      <c r="R244" s="44">
        <f ca="1">IF(N244&lt;0,J244,IF(P244&lt;O244,J244,C244))</f>
        <v>4.0421105596394264</v>
      </c>
      <c r="S244" s="44">
        <f t="shared" ca="1" si="51"/>
        <v>-95.996412051682398</v>
      </c>
    </row>
    <row r="245" spans="1:19" x14ac:dyDescent="0.4">
      <c r="A245" s="42">
        <v>244</v>
      </c>
      <c r="B245" s="41">
        <f t="shared" ca="1" si="40"/>
        <v>8.0064303850041529</v>
      </c>
      <c r="C245" s="41">
        <f t="shared" ca="1" si="41"/>
        <v>4.0421105596394264</v>
      </c>
      <c r="D245" s="41">
        <f t="shared" ca="1" si="42"/>
        <v>-95.996412051682398</v>
      </c>
      <c r="E245" s="42">
        <f t="shared" ca="1" si="43"/>
        <v>-0.60079448135670543</v>
      </c>
      <c r="F245" s="42">
        <v>0.5</v>
      </c>
      <c r="G245" s="43">
        <f t="shared" ca="1" si="44"/>
        <v>7.7060331443257999</v>
      </c>
      <c r="H245" s="42">
        <f t="shared" ca="1" si="45"/>
        <v>-7.5203755421286989E-3</v>
      </c>
      <c r="I245" s="42">
        <v>0.5</v>
      </c>
      <c r="J245" s="43">
        <f t="shared" ca="1" si="46"/>
        <v>4.0383503718683622</v>
      </c>
      <c r="K245" s="43">
        <f t="shared" ca="1" si="47"/>
        <v>-95.910641985720133</v>
      </c>
      <c r="L245" s="42">
        <f t="shared" si="39"/>
        <v>6.8418303811468001E-12</v>
      </c>
      <c r="M245" s="42">
        <f ca="1">K245-D245</f>
        <v>8.5770065962265107E-2</v>
      </c>
      <c r="N245" s="42">
        <f t="shared" ca="1" si="48"/>
        <v>12536128665.01503</v>
      </c>
      <c r="O245" s="42">
        <f t="shared" ca="1" si="49"/>
        <v>0</v>
      </c>
      <c r="P245" s="42">
        <f t="shared" ca="1" si="50"/>
        <v>0.14380085727982816</v>
      </c>
      <c r="Q245" s="44">
        <f ca="1">IF(M245&lt;0,G245,IF(P245&lt;O245,G245,B245))</f>
        <v>8.0064303850041529</v>
      </c>
      <c r="R245" s="44">
        <f ca="1">IF(N245&lt;0,J245,IF(P245&lt;O245,J245,C245))</f>
        <v>4.0421105596394264</v>
      </c>
      <c r="S245" s="44">
        <f t="shared" ca="1" si="51"/>
        <v>-95.996412051682398</v>
      </c>
    </row>
    <row r="246" spans="1:19" x14ac:dyDescent="0.4">
      <c r="A246" s="42">
        <v>245</v>
      </c>
      <c r="B246" s="41">
        <f t="shared" ca="1" si="40"/>
        <v>8.0064303850041529</v>
      </c>
      <c r="C246" s="41">
        <f t="shared" ca="1" si="41"/>
        <v>4.0421105596394264</v>
      </c>
      <c r="D246" s="41">
        <f t="shared" ca="1" si="42"/>
        <v>-95.996412051682398</v>
      </c>
      <c r="E246" s="42">
        <f t="shared" ca="1" si="43"/>
        <v>0.69254368651782583</v>
      </c>
      <c r="F246" s="42">
        <v>0.5</v>
      </c>
      <c r="G246" s="43">
        <f t="shared" ca="1" si="44"/>
        <v>8.3527022282630661</v>
      </c>
      <c r="H246" s="42">
        <f t="shared" ca="1" si="45"/>
        <v>9.2976102759693369E-2</v>
      </c>
      <c r="I246" s="42">
        <v>0.5</v>
      </c>
      <c r="J246" s="43">
        <f t="shared" ca="1" si="46"/>
        <v>4.0885986110192736</v>
      </c>
      <c r="K246" s="43">
        <f t="shared" ca="1" si="47"/>
        <v>-95.85990171042917</v>
      </c>
      <c r="L246" s="42">
        <f t="shared" si="39"/>
        <v>6.1576473430321215E-12</v>
      </c>
      <c r="M246" s="42">
        <f ca="1">K246-D246</f>
        <v>0.13651034125322781</v>
      </c>
      <c r="N246" s="42">
        <f t="shared" ca="1" si="48"/>
        <v>22169236665.964699</v>
      </c>
      <c r="O246" s="42">
        <f t="shared" ca="1" si="49"/>
        <v>0</v>
      </c>
      <c r="P246" s="42">
        <f t="shared" ca="1" si="50"/>
        <v>0.72806559412233207</v>
      </c>
      <c r="Q246" s="44">
        <f ca="1">IF(M246&lt;0,G246,IF(P246&lt;O246,G246,B246))</f>
        <v>8.0064303850041529</v>
      </c>
      <c r="R246" s="44">
        <f ca="1">IF(N246&lt;0,J246,IF(P246&lt;O246,J246,C246))</f>
        <v>4.0421105596394264</v>
      </c>
      <c r="S246" s="44">
        <f t="shared" ca="1" si="51"/>
        <v>-95.996412051682398</v>
      </c>
    </row>
    <row r="247" spans="1:19" x14ac:dyDescent="0.4">
      <c r="A247" s="42">
        <v>246</v>
      </c>
      <c r="B247" s="41">
        <f t="shared" ca="1" si="40"/>
        <v>8.0064303850041529</v>
      </c>
      <c r="C247" s="41">
        <f t="shared" ca="1" si="41"/>
        <v>4.0421105596394264</v>
      </c>
      <c r="D247" s="41">
        <f t="shared" ca="1" si="42"/>
        <v>-95.996412051682398</v>
      </c>
      <c r="E247" s="42">
        <f t="shared" ca="1" si="43"/>
        <v>-0.68737046609151986</v>
      </c>
      <c r="F247" s="42">
        <v>0.5</v>
      </c>
      <c r="G247" s="43">
        <f t="shared" ca="1" si="44"/>
        <v>7.6627451519583927</v>
      </c>
      <c r="H247" s="42">
        <f t="shared" ca="1" si="45"/>
        <v>0.60486732922986142</v>
      </c>
      <c r="I247" s="42">
        <v>0.5</v>
      </c>
      <c r="J247" s="43">
        <f t="shared" ca="1" si="46"/>
        <v>4.3445442242543573</v>
      </c>
      <c r="K247" s="43">
        <f t="shared" ca="1" si="47"/>
        <v>-95.64883772253836</v>
      </c>
      <c r="L247" s="42">
        <f t="shared" si="39"/>
        <v>5.5418826087289087E-12</v>
      </c>
      <c r="M247" s="42">
        <f ca="1">K247-D247</f>
        <v>0.34757432914403807</v>
      </c>
      <c r="N247" s="42">
        <f t="shared" ca="1" si="48"/>
        <v>62717735773.865128</v>
      </c>
      <c r="O247" s="42">
        <f t="shared" ca="1" si="49"/>
        <v>0</v>
      </c>
      <c r="P247" s="42">
        <f t="shared" ca="1" si="50"/>
        <v>0.47467556414993761</v>
      </c>
      <c r="Q247" s="44">
        <f ca="1">IF(M247&lt;0,G247,IF(P247&lt;O247,G247,B247))</f>
        <v>8.0064303850041529</v>
      </c>
      <c r="R247" s="44">
        <f ca="1">IF(N247&lt;0,J247,IF(P247&lt;O247,J247,C247))</f>
        <v>4.0421105596394264</v>
      </c>
      <c r="S247" s="44">
        <f t="shared" ca="1" si="51"/>
        <v>-95.996412051682398</v>
      </c>
    </row>
    <row r="248" spans="1:19" x14ac:dyDescent="0.4">
      <c r="A248" s="42">
        <v>247</v>
      </c>
      <c r="B248" s="41">
        <f t="shared" ca="1" si="40"/>
        <v>8.0064303850041529</v>
      </c>
      <c r="C248" s="41">
        <f t="shared" ca="1" si="41"/>
        <v>4.0421105596394264</v>
      </c>
      <c r="D248" s="41">
        <f t="shared" ca="1" si="42"/>
        <v>-95.996412051682398</v>
      </c>
      <c r="E248" s="42">
        <f t="shared" ca="1" si="43"/>
        <v>0.12031061152750433</v>
      </c>
      <c r="F248" s="42">
        <v>0.5</v>
      </c>
      <c r="G248" s="43">
        <f t="shared" ca="1" si="44"/>
        <v>8.066585690767905</v>
      </c>
      <c r="H248" s="42">
        <f t="shared" ca="1" si="45"/>
        <v>-0.42245760985120406</v>
      </c>
      <c r="I248" s="42">
        <v>0.5</v>
      </c>
      <c r="J248" s="43">
        <f t="shared" ca="1" si="46"/>
        <v>3.8308817547138245</v>
      </c>
      <c r="K248" s="43">
        <f t="shared" ca="1" si="47"/>
        <v>-95.938364384007613</v>
      </c>
      <c r="L248" s="42">
        <f t="shared" si="39"/>
        <v>4.9876943478560179E-12</v>
      </c>
      <c r="M248" s="42">
        <f ca="1">K248-D248</f>
        <v>5.8047667674784975E-2</v>
      </c>
      <c r="N248" s="42">
        <f t="shared" ca="1" si="48"/>
        <v>11638176605.536587</v>
      </c>
      <c r="O248" s="42">
        <f t="shared" ca="1" si="49"/>
        <v>0</v>
      </c>
      <c r="P248" s="42">
        <f t="shared" ca="1" si="50"/>
        <v>0.9782606872997659</v>
      </c>
      <c r="Q248" s="44">
        <f ca="1">IF(M248&lt;0,G248,IF(P248&lt;O248,G248,B248))</f>
        <v>8.0064303850041529</v>
      </c>
      <c r="R248" s="44">
        <f ca="1">IF(N248&lt;0,J248,IF(P248&lt;O248,J248,C248))</f>
        <v>4.0421105596394264</v>
      </c>
      <c r="S248" s="44">
        <f t="shared" ca="1" si="51"/>
        <v>-95.996412051682398</v>
      </c>
    </row>
    <row r="249" spans="1:19" x14ac:dyDescent="0.4">
      <c r="A249" s="42">
        <v>248</v>
      </c>
      <c r="B249" s="41">
        <f t="shared" ca="1" si="40"/>
        <v>8.0064303850041529</v>
      </c>
      <c r="C249" s="41">
        <f t="shared" ca="1" si="41"/>
        <v>4.0421105596394264</v>
      </c>
      <c r="D249" s="41">
        <f t="shared" ca="1" si="42"/>
        <v>-95.996412051682398</v>
      </c>
      <c r="E249" s="42">
        <f t="shared" ca="1" si="43"/>
        <v>0.2766166896460549</v>
      </c>
      <c r="F249" s="42">
        <v>0.5</v>
      </c>
      <c r="G249" s="43">
        <f t="shared" ca="1" si="44"/>
        <v>8.1447387298271803</v>
      </c>
      <c r="H249" s="42">
        <f t="shared" ca="1" si="45"/>
        <v>0.11663155874368014</v>
      </c>
      <c r="I249" s="42">
        <v>0.5</v>
      </c>
      <c r="J249" s="43">
        <f t="shared" ca="1" si="46"/>
        <v>4.1004263390112667</v>
      </c>
      <c r="K249" s="43">
        <f t="shared" ca="1" si="47"/>
        <v>-95.958879800953596</v>
      </c>
      <c r="L249" s="42">
        <f t="shared" si="39"/>
        <v>4.488924913070416E-12</v>
      </c>
      <c r="M249" s="42">
        <f ca="1">K249-D249</f>
        <v>3.7532250728801841E-2</v>
      </c>
      <c r="N249" s="42">
        <f t="shared" ca="1" si="48"/>
        <v>8361077865.107317</v>
      </c>
      <c r="O249" s="42">
        <f t="shared" ca="1" si="49"/>
        <v>0</v>
      </c>
      <c r="P249" s="42">
        <f t="shared" ca="1" si="50"/>
        <v>0.81864178242968444</v>
      </c>
      <c r="Q249" s="44">
        <f ca="1">IF(M249&lt;0,G249,IF(P249&lt;O249,G249,B249))</f>
        <v>8.0064303850041529</v>
      </c>
      <c r="R249" s="44">
        <f ca="1">IF(N249&lt;0,J249,IF(P249&lt;O249,J249,C249))</f>
        <v>4.0421105596394264</v>
      </c>
      <c r="S249" s="44">
        <f t="shared" ca="1" si="51"/>
        <v>-95.996412051682398</v>
      </c>
    </row>
    <row r="250" spans="1:19" x14ac:dyDescent="0.4">
      <c r="A250" s="42">
        <v>249</v>
      </c>
      <c r="B250" s="41">
        <f t="shared" ca="1" si="40"/>
        <v>8.0064303850041529</v>
      </c>
      <c r="C250" s="41">
        <f t="shared" ca="1" si="41"/>
        <v>4.0421105596394264</v>
      </c>
      <c r="D250" s="41">
        <f t="shared" ca="1" si="42"/>
        <v>-95.996412051682398</v>
      </c>
      <c r="E250" s="42">
        <f t="shared" ca="1" si="43"/>
        <v>0.83090782358153636</v>
      </c>
      <c r="F250" s="42">
        <v>0.5</v>
      </c>
      <c r="G250" s="43">
        <f t="shared" ca="1" si="44"/>
        <v>8.4218842967949215</v>
      </c>
      <c r="H250" s="42">
        <f t="shared" ca="1" si="45"/>
        <v>0.69269200336498016</v>
      </c>
      <c r="I250" s="42">
        <v>0.5</v>
      </c>
      <c r="J250" s="43">
        <f t="shared" ca="1" si="46"/>
        <v>4.3884565613219166</v>
      </c>
      <c r="K250" s="43">
        <f t="shared" ca="1" si="47"/>
        <v>-95.520216640049767</v>
      </c>
      <c r="L250" s="42">
        <f t="shared" si="39"/>
        <v>4.0400324217633746E-12</v>
      </c>
      <c r="M250" s="42">
        <f ca="1">K250-D250</f>
        <v>0.47619541163263079</v>
      </c>
      <c r="N250" s="42">
        <f t="shared" ca="1" si="48"/>
        <v>117869205471.56976</v>
      </c>
      <c r="O250" s="42">
        <f t="shared" ca="1" si="49"/>
        <v>0</v>
      </c>
      <c r="P250" s="42">
        <f t="shared" ca="1" si="50"/>
        <v>0.41559588050611984</v>
      </c>
      <c r="Q250" s="44">
        <f ca="1">IF(M250&lt;0,G250,IF(P250&lt;O250,G250,B250))</f>
        <v>8.0064303850041529</v>
      </c>
      <c r="R250" s="44">
        <f ca="1">IF(N250&lt;0,J250,IF(P250&lt;O250,J250,C250))</f>
        <v>4.0421105596394264</v>
      </c>
      <c r="S250" s="44">
        <f t="shared" ca="1" si="51"/>
        <v>-95.996412051682398</v>
      </c>
    </row>
    <row r="251" spans="1:19" x14ac:dyDescent="0.4">
      <c r="A251" s="42">
        <v>250</v>
      </c>
      <c r="B251" s="41">
        <f t="shared" ca="1" si="40"/>
        <v>8.0064303850041529</v>
      </c>
      <c r="C251" s="41">
        <f t="shared" ca="1" si="41"/>
        <v>4.0421105596394264</v>
      </c>
      <c r="D251" s="41">
        <f t="shared" ca="1" si="42"/>
        <v>-95.996412051682398</v>
      </c>
      <c r="E251" s="42">
        <f t="shared" ca="1" si="43"/>
        <v>-0.2411262911104517</v>
      </c>
      <c r="F251" s="42">
        <v>0.5</v>
      </c>
      <c r="G251" s="43">
        <f t="shared" ca="1" si="44"/>
        <v>7.8858672394489275</v>
      </c>
      <c r="H251" s="42">
        <f t="shared" ca="1" si="45"/>
        <v>-5.7555758928589995E-2</v>
      </c>
      <c r="I251" s="42">
        <v>0.5</v>
      </c>
      <c r="J251" s="43">
        <f t="shared" ca="1" si="46"/>
        <v>4.0133326801751315</v>
      </c>
      <c r="K251" s="43">
        <f t="shared" ca="1" si="47"/>
        <v>-95.986618192247676</v>
      </c>
      <c r="L251" s="42">
        <f t="shared" si="39"/>
        <v>3.6360291795870377E-12</v>
      </c>
      <c r="M251" s="42">
        <f ca="1">K251-D251</f>
        <v>9.7938594347226626E-3</v>
      </c>
      <c r="N251" s="42">
        <f t="shared" ca="1" si="48"/>
        <v>2693559086.298367</v>
      </c>
      <c r="O251" s="42">
        <f t="shared" ca="1" si="49"/>
        <v>0</v>
      </c>
      <c r="P251" s="42">
        <f t="shared" ca="1" si="50"/>
        <v>0.14336676601773324</v>
      </c>
      <c r="Q251" s="44">
        <f ca="1">IF(M251&lt;0,G251,IF(P251&lt;O251,G251,B251))</f>
        <v>8.0064303850041529</v>
      </c>
      <c r="R251" s="44">
        <f ca="1">IF(N251&lt;0,J251,IF(P251&lt;O251,J251,C251))</f>
        <v>4.0421105596394264</v>
      </c>
      <c r="S251" s="44">
        <f t="shared" ca="1" si="51"/>
        <v>-95.996412051682398</v>
      </c>
    </row>
    <row r="252" spans="1:19" x14ac:dyDescent="0.4">
      <c r="A252" s="42">
        <v>251</v>
      </c>
      <c r="B252" s="41">
        <f t="shared" ca="1" si="40"/>
        <v>8.0064303850041529</v>
      </c>
      <c r="C252" s="41">
        <f t="shared" ca="1" si="41"/>
        <v>4.0421105596394264</v>
      </c>
      <c r="D252" s="41">
        <f t="shared" ca="1" si="42"/>
        <v>-95.996412051682398</v>
      </c>
      <c r="E252" s="42">
        <f t="shared" ca="1" si="43"/>
        <v>-0.28300316843962259</v>
      </c>
      <c r="F252" s="42">
        <v>0.5</v>
      </c>
      <c r="G252" s="43">
        <f t="shared" ca="1" si="44"/>
        <v>7.8649288007843419</v>
      </c>
      <c r="H252" s="42">
        <f t="shared" ca="1" si="45"/>
        <v>7.8559968126675095E-2</v>
      </c>
      <c r="I252" s="42">
        <v>0.5</v>
      </c>
      <c r="J252" s="43">
        <f t="shared" ca="1" si="46"/>
        <v>4.0813905437027636</v>
      </c>
      <c r="K252" s="43">
        <f t="shared" ca="1" si="47"/>
        <v>-95.96850692993398</v>
      </c>
      <c r="L252" s="42">
        <f t="shared" si="39"/>
        <v>3.2724262616283341E-12</v>
      </c>
      <c r="M252" s="42">
        <f ca="1">K252-D252</f>
        <v>2.7905121748418082E-2</v>
      </c>
      <c r="N252" s="42">
        <f t="shared" ca="1" si="48"/>
        <v>8527349286.8660421</v>
      </c>
      <c r="O252" s="42">
        <f t="shared" ca="1" si="49"/>
        <v>0</v>
      </c>
      <c r="P252" s="42">
        <f t="shared" ca="1" si="50"/>
        <v>0.42292056671840783</v>
      </c>
      <c r="Q252" s="44">
        <f ca="1">IF(M252&lt;0,G252,IF(P252&lt;O252,G252,B252))</f>
        <v>8.0064303850041529</v>
      </c>
      <c r="R252" s="44">
        <f ca="1">IF(N252&lt;0,J252,IF(P252&lt;O252,J252,C252))</f>
        <v>4.0421105596394264</v>
      </c>
      <c r="S252" s="44">
        <f t="shared" ca="1" si="51"/>
        <v>-95.996412051682398</v>
      </c>
    </row>
    <row r="253" spans="1:19" x14ac:dyDescent="0.4">
      <c r="A253" s="42">
        <v>252</v>
      </c>
      <c r="B253" s="41">
        <f t="shared" ca="1" si="40"/>
        <v>8.0064303850041529</v>
      </c>
      <c r="C253" s="41">
        <f t="shared" ca="1" si="41"/>
        <v>4.0421105596394264</v>
      </c>
      <c r="D253" s="41">
        <f t="shared" ca="1" si="42"/>
        <v>-95.996412051682398</v>
      </c>
      <c r="E253" s="42">
        <f t="shared" ca="1" si="43"/>
        <v>0.10395330244110657</v>
      </c>
      <c r="F253" s="42">
        <v>0.5</v>
      </c>
      <c r="G253" s="43">
        <f t="shared" ca="1" si="44"/>
        <v>8.0584070362247058</v>
      </c>
      <c r="H253" s="42">
        <f t="shared" ca="1" si="45"/>
        <v>-0.16422306975469492</v>
      </c>
      <c r="I253" s="42">
        <v>0.5</v>
      </c>
      <c r="J253" s="43">
        <f t="shared" ca="1" si="46"/>
        <v>3.9599990247620789</v>
      </c>
      <c r="K253" s="43">
        <f t="shared" ca="1" si="47"/>
        <v>-95.99338846207948</v>
      </c>
      <c r="L253" s="42">
        <f t="shared" si="39"/>
        <v>2.9451836354655011E-12</v>
      </c>
      <c r="M253" s="42">
        <f ca="1">K253-D253</f>
        <v>3.0235896029182641E-3</v>
      </c>
      <c r="N253" s="42">
        <f t="shared" ca="1" si="48"/>
        <v>1026621758.4902377</v>
      </c>
      <c r="O253" s="42">
        <f t="shared" ca="1" si="49"/>
        <v>0</v>
      </c>
      <c r="P253" s="42">
        <f t="shared" ca="1" si="50"/>
        <v>0.59527137212369186</v>
      </c>
      <c r="Q253" s="44">
        <f ca="1">IF(M253&lt;0,G253,IF(P253&lt;O253,G253,B253))</f>
        <v>8.0064303850041529</v>
      </c>
      <c r="R253" s="44">
        <f ca="1">IF(N253&lt;0,J253,IF(P253&lt;O253,J253,C253))</f>
        <v>4.0421105596394264</v>
      </c>
      <c r="S253" s="44">
        <f t="shared" ca="1" si="51"/>
        <v>-95.996412051682398</v>
      </c>
    </row>
    <row r="254" spans="1:19" x14ac:dyDescent="0.4">
      <c r="A254" s="42">
        <v>253</v>
      </c>
      <c r="B254" s="41">
        <f t="shared" ca="1" si="40"/>
        <v>8.0064303850041529</v>
      </c>
      <c r="C254" s="41">
        <f t="shared" ca="1" si="41"/>
        <v>4.0421105596394264</v>
      </c>
      <c r="D254" s="41">
        <f t="shared" ca="1" si="42"/>
        <v>-95.996412051682398</v>
      </c>
      <c r="E254" s="42">
        <f t="shared" ca="1" si="43"/>
        <v>9.3145875858986704E-2</v>
      </c>
      <c r="F254" s="42">
        <v>0.5</v>
      </c>
      <c r="G254" s="43">
        <f t="shared" ca="1" si="44"/>
        <v>8.0530033229336464</v>
      </c>
      <c r="H254" s="42">
        <f t="shared" ca="1" si="45"/>
        <v>-0.7236542939268058</v>
      </c>
      <c r="I254" s="42">
        <v>0.5</v>
      </c>
      <c r="J254" s="43">
        <f t="shared" ca="1" si="46"/>
        <v>3.6802834126760233</v>
      </c>
      <c r="K254" s="43">
        <f t="shared" ca="1" si="47"/>
        <v>-95.792753255337814</v>
      </c>
      <c r="L254" s="42">
        <f t="shared" si="39"/>
        <v>2.6506652719189511E-12</v>
      </c>
      <c r="M254" s="42">
        <f ca="1">K254-D254</f>
        <v>0.20365879634458395</v>
      </c>
      <c r="N254" s="42">
        <f t="shared" ca="1" si="48"/>
        <v>76833087339.294647</v>
      </c>
      <c r="O254" s="42">
        <f t="shared" ca="1" si="49"/>
        <v>0</v>
      </c>
      <c r="P254" s="42">
        <f t="shared" ca="1" si="50"/>
        <v>0.68544610858824939</v>
      </c>
      <c r="Q254" s="44">
        <f ca="1">IF(M254&lt;0,G254,IF(P254&lt;O254,G254,B254))</f>
        <v>8.0064303850041529</v>
      </c>
      <c r="R254" s="44">
        <f ca="1">IF(N254&lt;0,J254,IF(P254&lt;O254,J254,C254))</f>
        <v>4.0421105596394264</v>
      </c>
      <c r="S254" s="44">
        <f t="shared" ca="1" si="51"/>
        <v>-95.996412051682398</v>
      </c>
    </row>
    <row r="255" spans="1:19" x14ac:dyDescent="0.4">
      <c r="A255" s="42">
        <v>254</v>
      </c>
      <c r="B255" s="41">
        <f t="shared" ca="1" si="40"/>
        <v>8.0064303850041529</v>
      </c>
      <c r="C255" s="41">
        <f t="shared" ca="1" si="41"/>
        <v>4.0421105596394264</v>
      </c>
      <c r="D255" s="41">
        <f t="shared" ca="1" si="42"/>
        <v>-95.996412051682398</v>
      </c>
      <c r="E255" s="42">
        <f t="shared" ca="1" si="43"/>
        <v>0.89576711611684479</v>
      </c>
      <c r="F255" s="42">
        <v>0.5</v>
      </c>
      <c r="G255" s="43">
        <f t="shared" ca="1" si="44"/>
        <v>8.4543139430625747</v>
      </c>
      <c r="H255" s="42">
        <f t="shared" ca="1" si="45"/>
        <v>-0.58920248203317271</v>
      </c>
      <c r="I255" s="42">
        <v>0.5</v>
      </c>
      <c r="J255" s="43">
        <f t="shared" ca="1" si="46"/>
        <v>3.7475093186228401</v>
      </c>
      <c r="K255" s="43">
        <f t="shared" ca="1" si="47"/>
        <v>-95.666095752774325</v>
      </c>
      <c r="L255" s="42">
        <f t="shared" si="39"/>
        <v>2.3855987447270563E-12</v>
      </c>
      <c r="M255" s="42">
        <f ca="1">K255-D255</f>
        <v>0.33031629890807324</v>
      </c>
      <c r="N255" s="42">
        <f t="shared" ca="1" si="48"/>
        <v>138462639468.67801</v>
      </c>
      <c r="O255" s="42">
        <f t="shared" ca="1" si="49"/>
        <v>0</v>
      </c>
      <c r="P255" s="42">
        <f t="shared" ca="1" si="50"/>
        <v>0.27600101307759572</v>
      </c>
      <c r="Q255" s="44">
        <f ca="1">IF(M255&lt;0,G255,IF(P255&lt;O255,G255,B255))</f>
        <v>8.0064303850041529</v>
      </c>
      <c r="R255" s="44">
        <f ca="1">IF(N255&lt;0,J255,IF(P255&lt;O255,J255,C255))</f>
        <v>4.0421105596394264</v>
      </c>
      <c r="S255" s="44">
        <f t="shared" ca="1" si="51"/>
        <v>-95.996412051682398</v>
      </c>
    </row>
    <row r="256" spans="1:19" x14ac:dyDescent="0.4">
      <c r="A256" s="42">
        <v>255</v>
      </c>
      <c r="B256" s="41">
        <f t="shared" ca="1" si="40"/>
        <v>8.0064303850041529</v>
      </c>
      <c r="C256" s="41">
        <f t="shared" ca="1" si="41"/>
        <v>4.0421105596394264</v>
      </c>
      <c r="D256" s="41">
        <f t="shared" ca="1" si="42"/>
        <v>-95.996412051682398</v>
      </c>
      <c r="E256" s="42">
        <f t="shared" ca="1" si="43"/>
        <v>-0.65064082929005962</v>
      </c>
      <c r="F256" s="42">
        <v>0.5</v>
      </c>
      <c r="G256" s="43">
        <f t="shared" ca="1" si="44"/>
        <v>7.681109970359123</v>
      </c>
      <c r="H256" s="42">
        <f t="shared" ca="1" si="45"/>
        <v>0.90273460552684059</v>
      </c>
      <c r="I256" s="42">
        <v>0.5</v>
      </c>
      <c r="J256" s="43">
        <f t="shared" ca="1" si="46"/>
        <v>4.4934778624028464</v>
      </c>
      <c r="K256" s="43">
        <f t="shared" ca="1" si="47"/>
        <v>-95.411268347632273</v>
      </c>
      <c r="L256" s="42">
        <f t="shared" si="39"/>
        <v>2.1470388702543504E-12</v>
      </c>
      <c r="M256" s="42">
        <f ca="1">K256-D256</f>
        <v>0.58514370405012528</v>
      </c>
      <c r="N256" s="42">
        <f t="shared" ca="1" si="48"/>
        <v>272535216831.35892</v>
      </c>
      <c r="O256" s="42">
        <f t="shared" ca="1" si="49"/>
        <v>0</v>
      </c>
      <c r="P256" s="42">
        <f t="shared" ca="1" si="50"/>
        <v>0.34093325689263065</v>
      </c>
      <c r="Q256" s="44">
        <f ca="1">IF(M256&lt;0,G256,IF(P256&lt;O256,G256,B256))</f>
        <v>8.0064303850041529</v>
      </c>
      <c r="R256" s="44">
        <f ca="1">IF(N256&lt;0,J256,IF(P256&lt;O256,J256,C256))</f>
        <v>4.0421105596394264</v>
      </c>
      <c r="S256" s="44">
        <f t="shared" ca="1" si="51"/>
        <v>-95.996412051682398</v>
      </c>
    </row>
    <row r="257" spans="1:19" x14ac:dyDescent="0.4">
      <c r="A257" s="42">
        <v>256</v>
      </c>
      <c r="B257" s="41">
        <f t="shared" ca="1" si="40"/>
        <v>8.0064303850041529</v>
      </c>
      <c r="C257" s="41">
        <f t="shared" ca="1" si="41"/>
        <v>4.0421105596394264</v>
      </c>
      <c r="D257" s="41">
        <f t="shared" ca="1" si="42"/>
        <v>-95.996412051682398</v>
      </c>
      <c r="E257" s="42">
        <f t="shared" ca="1" si="43"/>
        <v>0.91705528797624902</v>
      </c>
      <c r="F257" s="42">
        <v>0.5</v>
      </c>
      <c r="G257" s="43">
        <f t="shared" ca="1" si="44"/>
        <v>8.4649580289922781</v>
      </c>
      <c r="H257" s="42">
        <f t="shared" ca="1" si="45"/>
        <v>3.38378145691558E-2</v>
      </c>
      <c r="I257" s="42">
        <v>0.5</v>
      </c>
      <c r="J257" s="43">
        <f t="shared" ca="1" si="46"/>
        <v>4.0590294669240041</v>
      </c>
      <c r="K257" s="43">
        <f t="shared" ca="1" si="47"/>
        <v>-95.776845075344937</v>
      </c>
      <c r="L257" s="42">
        <f t="shared" si="39"/>
        <v>1.9323349832289153E-12</v>
      </c>
      <c r="M257" s="42">
        <f ca="1">K257-D257</f>
        <v>0.21956697633746103</v>
      </c>
      <c r="N257" s="42">
        <f t="shared" ca="1" si="48"/>
        <v>113627801723.36708</v>
      </c>
      <c r="O257" s="42">
        <f t="shared" ca="1" si="49"/>
        <v>0</v>
      </c>
      <c r="P257" s="42">
        <f t="shared" ca="1" si="50"/>
        <v>0.73378958249677873</v>
      </c>
      <c r="Q257" s="44">
        <f ca="1">IF(M257&lt;0,G257,IF(P257&lt;O257,G257,B257))</f>
        <v>8.0064303850041529</v>
      </c>
      <c r="R257" s="44">
        <f ca="1">IF(N257&lt;0,J257,IF(P257&lt;O257,J257,C257))</f>
        <v>4.0421105596394264</v>
      </c>
      <c r="S257" s="44">
        <f t="shared" ca="1" si="51"/>
        <v>-95.996412051682398</v>
      </c>
    </row>
    <row r="258" spans="1:19" x14ac:dyDescent="0.4">
      <c r="A258" s="42">
        <v>257</v>
      </c>
      <c r="B258" s="41">
        <f t="shared" ca="1" si="40"/>
        <v>8.0064303850041529</v>
      </c>
      <c r="C258" s="41">
        <f t="shared" ca="1" si="41"/>
        <v>4.0421105596394264</v>
      </c>
      <c r="D258" s="41">
        <f t="shared" ca="1" si="42"/>
        <v>-95.996412051682398</v>
      </c>
      <c r="E258" s="42">
        <f t="shared" ca="1" si="43"/>
        <v>6.6944298121426549E-2</v>
      </c>
      <c r="F258" s="42">
        <v>0.5</v>
      </c>
      <c r="G258" s="43">
        <f t="shared" ca="1" si="44"/>
        <v>8.0399025340648667</v>
      </c>
      <c r="H258" s="42">
        <f t="shared" ca="1" si="45"/>
        <v>-0.53443456023955771</v>
      </c>
      <c r="I258" s="42">
        <v>0.5</v>
      </c>
      <c r="J258" s="43">
        <f t="shared" ca="1" si="46"/>
        <v>3.7748932795196475</v>
      </c>
      <c r="K258" s="43">
        <f t="shared" ca="1" si="47"/>
        <v>-95.897061716564366</v>
      </c>
      <c r="L258" s="42">
        <f t="shared" si="39"/>
        <v>1.7391014849060238E-12</v>
      </c>
      <c r="M258" s="42">
        <f ca="1">K258-D258</f>
        <v>9.9350335118032262E-2</v>
      </c>
      <c r="N258" s="42">
        <f t="shared" ca="1" si="48"/>
        <v>57127393645.691055</v>
      </c>
      <c r="O258" s="42">
        <f t="shared" ca="1" si="49"/>
        <v>0</v>
      </c>
      <c r="P258" s="42">
        <f t="shared" ca="1" si="50"/>
        <v>2.371955157255301E-3</v>
      </c>
      <c r="Q258" s="44">
        <f ca="1">IF(M258&lt;0,G258,IF(P258&lt;O258,G258,B258))</f>
        <v>8.0064303850041529</v>
      </c>
      <c r="R258" s="44">
        <f ca="1">IF(N258&lt;0,J258,IF(P258&lt;O258,J258,C258))</f>
        <v>4.0421105596394264</v>
      </c>
      <c r="S258" s="44">
        <f t="shared" ca="1" si="51"/>
        <v>-95.996412051682398</v>
      </c>
    </row>
    <row r="259" spans="1:19" x14ac:dyDescent="0.4">
      <c r="A259" s="42">
        <v>258</v>
      </c>
      <c r="B259" s="41">
        <f t="shared" ca="1" si="40"/>
        <v>8.0064303850041529</v>
      </c>
      <c r="C259" s="41">
        <f t="shared" ca="1" si="41"/>
        <v>4.0421105596394264</v>
      </c>
      <c r="D259" s="41">
        <f t="shared" ca="1" si="42"/>
        <v>-95.996412051682398</v>
      </c>
      <c r="E259" s="42">
        <f t="shared" ca="1" si="43"/>
        <v>-0.62389904663537843</v>
      </c>
      <c r="F259" s="42">
        <v>0.5</v>
      </c>
      <c r="G259" s="43">
        <f t="shared" ca="1" si="44"/>
        <v>7.6944808616864639</v>
      </c>
      <c r="H259" s="42">
        <f t="shared" ca="1" si="45"/>
        <v>-0.2169543434559833</v>
      </c>
      <c r="I259" s="42">
        <v>0.5</v>
      </c>
      <c r="J259" s="43">
        <f t="shared" ca="1" si="46"/>
        <v>3.9336333879114349</v>
      </c>
      <c r="K259" s="43">
        <f t="shared" ca="1" si="47"/>
        <v>-95.897849001723927</v>
      </c>
      <c r="L259" s="42">
        <f t="shared" ref="L259:L322" si="52">(0.9^A259)*1</f>
        <v>1.5651913364154215E-12</v>
      </c>
      <c r="M259" s="42">
        <f ca="1">K259-D259</f>
        <v>9.8563049958471538E-2</v>
      </c>
      <c r="N259" s="42">
        <f t="shared" ca="1" si="48"/>
        <v>62971885714.751785</v>
      </c>
      <c r="O259" s="42">
        <f t="shared" ca="1" si="49"/>
        <v>0</v>
      </c>
      <c r="P259" s="42">
        <f t="shared" ca="1" si="50"/>
        <v>0.89212299284534513</v>
      </c>
      <c r="Q259" s="44">
        <f ca="1">IF(M259&lt;0,G259,IF(P259&lt;O259,G259,B259))</f>
        <v>8.0064303850041529</v>
      </c>
      <c r="R259" s="44">
        <f ca="1">IF(N259&lt;0,J259,IF(P259&lt;O259,J259,C259))</f>
        <v>4.0421105596394264</v>
      </c>
      <c r="S259" s="44">
        <f t="shared" ca="1" si="51"/>
        <v>-95.996412051682398</v>
      </c>
    </row>
    <row r="260" spans="1:19" x14ac:dyDescent="0.4">
      <c r="A260" s="42">
        <v>259</v>
      </c>
      <c r="B260" s="41">
        <f t="shared" ref="B260:B323" ca="1" si="53">Q259</f>
        <v>8.0064303850041529</v>
      </c>
      <c r="C260" s="41">
        <f t="shared" ref="C260:C323" ca="1" si="54">R259</f>
        <v>4.0421105596394264</v>
      </c>
      <c r="D260" s="41">
        <f t="shared" ref="D260:D323" ca="1" si="55">S259</f>
        <v>-95.996412051682398</v>
      </c>
      <c r="E260" s="42">
        <f t="shared" ref="E260:E323" ca="1" si="56">2*(RAND()-0.5)</f>
        <v>-0.25665597143246144</v>
      </c>
      <c r="F260" s="42">
        <v>0.5</v>
      </c>
      <c r="G260" s="43">
        <f t="shared" ref="G260:G323" ca="1" si="57">B260+E260*F260</f>
        <v>7.878102399287922</v>
      </c>
      <c r="H260" s="42">
        <f t="shared" ref="H260:H323" ca="1" si="58">2*(RAND()-0.5)</f>
        <v>0.47829610321967664</v>
      </c>
      <c r="I260" s="42">
        <v>0.5</v>
      </c>
      <c r="J260" s="43">
        <f t="shared" ref="J260:J323" ca="1" si="59">C260+H260*I260</f>
        <v>4.2812586112492648</v>
      </c>
      <c r="K260" s="43">
        <f t="shared" ref="K260:K323" ca="1" si="60">G260^2-16*G260+2*J260^2-16*J260</f>
        <v>-95.826928162136909</v>
      </c>
      <c r="L260" s="42">
        <f t="shared" si="52"/>
        <v>1.4086722027738795E-12</v>
      </c>
      <c r="M260" s="42">
        <f ca="1">K260-D260</f>
        <v>0.16948388954548932</v>
      </c>
      <c r="N260" s="42">
        <f t="shared" ref="N260:N323" ca="1" si="61">M260/L260</f>
        <v>120314640419.36159</v>
      </c>
      <c r="O260" s="42">
        <f t="shared" ref="O260:O323" ca="1" si="62">IF(M260&lt;0,1,EXP(-N260))</f>
        <v>0</v>
      </c>
      <c r="P260" s="42">
        <f t="shared" ref="P260:P323" ca="1" si="63">RAND()</f>
        <v>0.17575088106626768</v>
      </c>
      <c r="Q260" s="44">
        <f ca="1">IF(M260&lt;0,G260,IF(P260&lt;O260,G260,B260))</f>
        <v>8.0064303850041529</v>
      </c>
      <c r="R260" s="44">
        <f ca="1">IF(N260&lt;0,J260,IF(P260&lt;O260,J260,C260))</f>
        <v>4.0421105596394264</v>
      </c>
      <c r="S260" s="44">
        <f t="shared" ref="S260:S323" ca="1" si="64">Q260^2-16*Q260+2*R260^2-16*R260</f>
        <v>-95.996412051682398</v>
      </c>
    </row>
    <row r="261" spans="1:19" x14ac:dyDescent="0.4">
      <c r="A261" s="42">
        <v>260</v>
      </c>
      <c r="B261" s="41">
        <f t="shared" ca="1" si="53"/>
        <v>8.0064303850041529</v>
      </c>
      <c r="C261" s="41">
        <f t="shared" ca="1" si="54"/>
        <v>4.0421105596394264</v>
      </c>
      <c r="D261" s="41">
        <f t="shared" ca="1" si="55"/>
        <v>-95.996412051682398</v>
      </c>
      <c r="E261" s="42">
        <f t="shared" ca="1" si="56"/>
        <v>-0.3325582181208766</v>
      </c>
      <c r="F261" s="42">
        <v>0.5</v>
      </c>
      <c r="G261" s="43">
        <f t="shared" ca="1" si="57"/>
        <v>7.8401512759437146</v>
      </c>
      <c r="H261" s="42">
        <f t="shared" ca="1" si="58"/>
        <v>-2.4234416094008671E-2</v>
      </c>
      <c r="I261" s="42">
        <v>0.5</v>
      </c>
      <c r="J261" s="43">
        <f t="shared" ca="1" si="59"/>
        <v>4.029993351592422</v>
      </c>
      <c r="K261" s="43">
        <f t="shared" ca="1" si="60"/>
        <v>-95.972649183138088</v>
      </c>
      <c r="L261" s="42">
        <f t="shared" si="52"/>
        <v>1.2678049824964915E-12</v>
      </c>
      <c r="M261" s="42">
        <f ca="1">K261-D261</f>
        <v>2.3762868544309868E-2</v>
      </c>
      <c r="N261" s="42">
        <f t="shared" ca="1" si="61"/>
        <v>18743315314.566235</v>
      </c>
      <c r="O261" s="42">
        <f t="shared" ca="1" si="62"/>
        <v>0</v>
      </c>
      <c r="P261" s="42">
        <f t="shared" ca="1" si="63"/>
        <v>0.92417788114088051</v>
      </c>
      <c r="Q261" s="44">
        <f ca="1">IF(M261&lt;0,G261,IF(P261&lt;O261,G261,B261))</f>
        <v>8.0064303850041529</v>
      </c>
      <c r="R261" s="44">
        <f ca="1">IF(N261&lt;0,J261,IF(P261&lt;O261,J261,C261))</f>
        <v>4.0421105596394264</v>
      </c>
      <c r="S261" s="44">
        <f t="shared" ca="1" si="64"/>
        <v>-95.996412051682398</v>
      </c>
    </row>
    <row r="262" spans="1:19" x14ac:dyDescent="0.4">
      <c r="A262" s="42">
        <v>261</v>
      </c>
      <c r="B262" s="41">
        <f t="shared" ca="1" si="53"/>
        <v>8.0064303850041529</v>
      </c>
      <c r="C262" s="41">
        <f t="shared" ca="1" si="54"/>
        <v>4.0421105596394264</v>
      </c>
      <c r="D262" s="41">
        <f t="shared" ca="1" si="55"/>
        <v>-95.996412051682398</v>
      </c>
      <c r="E262" s="42">
        <f t="shared" ca="1" si="56"/>
        <v>0.72901210454857823</v>
      </c>
      <c r="F262" s="42">
        <v>0.5</v>
      </c>
      <c r="G262" s="43">
        <f t="shared" ca="1" si="57"/>
        <v>8.3709364372784414</v>
      </c>
      <c r="H262" s="42">
        <f t="shared" ca="1" si="58"/>
        <v>0.79676963097106035</v>
      </c>
      <c r="I262" s="42">
        <v>0.5</v>
      </c>
      <c r="J262" s="43">
        <f t="shared" ca="1" si="59"/>
        <v>4.4404953751249563</v>
      </c>
      <c r="K262" s="43">
        <f t="shared" ca="1" si="60"/>
        <v>-95.474333808486222</v>
      </c>
      <c r="L262" s="42">
        <f t="shared" si="52"/>
        <v>1.1410244842468425E-12</v>
      </c>
      <c r="M262" s="42">
        <f ca="1">K262-D262</f>
        <v>0.52207824319617657</v>
      </c>
      <c r="N262" s="42">
        <f t="shared" ca="1" si="61"/>
        <v>457552182625.41089</v>
      </c>
      <c r="O262" s="42">
        <f t="shared" ca="1" si="62"/>
        <v>0</v>
      </c>
      <c r="P262" s="42">
        <f t="shared" ca="1" si="63"/>
        <v>0.52459154799573171</v>
      </c>
      <c r="Q262" s="44">
        <f ca="1">IF(M262&lt;0,G262,IF(P262&lt;O262,G262,B262))</f>
        <v>8.0064303850041529</v>
      </c>
      <c r="R262" s="44">
        <f ca="1">IF(N262&lt;0,J262,IF(P262&lt;O262,J262,C262))</f>
        <v>4.0421105596394264</v>
      </c>
      <c r="S262" s="44">
        <f t="shared" ca="1" si="64"/>
        <v>-95.996412051682398</v>
      </c>
    </row>
    <row r="263" spans="1:19" x14ac:dyDescent="0.4">
      <c r="A263" s="42">
        <v>262</v>
      </c>
      <c r="B263" s="41">
        <f t="shared" ca="1" si="53"/>
        <v>8.0064303850041529</v>
      </c>
      <c r="C263" s="41">
        <f t="shared" ca="1" si="54"/>
        <v>4.0421105596394264</v>
      </c>
      <c r="D263" s="41">
        <f t="shared" ca="1" si="55"/>
        <v>-95.996412051682398</v>
      </c>
      <c r="E263" s="42">
        <f t="shared" ca="1" si="56"/>
        <v>0.34263558636765823</v>
      </c>
      <c r="F263" s="42">
        <v>0.5</v>
      </c>
      <c r="G263" s="43">
        <f t="shared" ca="1" si="57"/>
        <v>8.1777481781879828</v>
      </c>
      <c r="H263" s="42">
        <f t="shared" ca="1" si="58"/>
        <v>-0.53205493528557191</v>
      </c>
      <c r="I263" s="42">
        <v>0.5</v>
      </c>
      <c r="J263" s="43">
        <f t="shared" ca="1" si="59"/>
        <v>3.7760830919966404</v>
      </c>
      <c r="K263" s="43">
        <f t="shared" ca="1" si="60"/>
        <v>-95.86812802177127</v>
      </c>
      <c r="L263" s="42">
        <f t="shared" si="52"/>
        <v>1.0269220358221582E-12</v>
      </c>
      <c r="M263" s="42">
        <f ca="1">K263-D263</f>
        <v>0.12828402991112853</v>
      </c>
      <c r="N263" s="42">
        <f t="shared" ca="1" si="61"/>
        <v>124920904836.19214</v>
      </c>
      <c r="O263" s="42">
        <f t="shared" ca="1" si="62"/>
        <v>0</v>
      </c>
      <c r="P263" s="42">
        <f t="shared" ca="1" si="63"/>
        <v>5.4194135482890093E-3</v>
      </c>
      <c r="Q263" s="44">
        <f ca="1">IF(M263&lt;0,G263,IF(P263&lt;O263,G263,B263))</f>
        <v>8.0064303850041529</v>
      </c>
      <c r="R263" s="44">
        <f ca="1">IF(N263&lt;0,J263,IF(P263&lt;O263,J263,C263))</f>
        <v>4.0421105596394264</v>
      </c>
      <c r="S263" s="44">
        <f t="shared" ca="1" si="64"/>
        <v>-95.996412051682398</v>
      </c>
    </row>
    <row r="264" spans="1:19" x14ac:dyDescent="0.4">
      <c r="A264" s="42">
        <v>263</v>
      </c>
      <c r="B264" s="41">
        <f t="shared" ca="1" si="53"/>
        <v>8.0064303850041529</v>
      </c>
      <c r="C264" s="41">
        <f t="shared" ca="1" si="54"/>
        <v>4.0421105596394264</v>
      </c>
      <c r="D264" s="41">
        <f t="shared" ca="1" si="55"/>
        <v>-95.996412051682398</v>
      </c>
      <c r="E264" s="42">
        <f t="shared" ca="1" si="56"/>
        <v>0.10899354839957609</v>
      </c>
      <c r="F264" s="42">
        <v>0.5</v>
      </c>
      <c r="G264" s="43">
        <f t="shared" ca="1" si="57"/>
        <v>8.0609271592039402</v>
      </c>
      <c r="H264" s="42">
        <f t="shared" ca="1" si="58"/>
        <v>-0.3060509461802341</v>
      </c>
      <c r="I264" s="42">
        <v>0.5</v>
      </c>
      <c r="J264" s="43">
        <f t="shared" ca="1" si="59"/>
        <v>3.8890850865493096</v>
      </c>
      <c r="K264" s="43">
        <f t="shared" ca="1" si="60"/>
        <v>-95.971683645219798</v>
      </c>
      <c r="L264" s="42">
        <f t="shared" si="52"/>
        <v>9.2422983223994243E-13</v>
      </c>
      <c r="M264" s="42">
        <f ca="1">K264-D264</f>
        <v>2.4728406462600105E-2</v>
      </c>
      <c r="N264" s="42">
        <f t="shared" ca="1" si="61"/>
        <v>26755689548.203503</v>
      </c>
      <c r="O264" s="42">
        <f t="shared" ca="1" si="62"/>
        <v>0</v>
      </c>
      <c r="P264" s="42">
        <f t="shared" ca="1" si="63"/>
        <v>0.26009662217630347</v>
      </c>
      <c r="Q264" s="44">
        <f ca="1">IF(M264&lt;0,G264,IF(P264&lt;O264,G264,B264))</f>
        <v>8.0064303850041529</v>
      </c>
      <c r="R264" s="44">
        <f ca="1">IF(N264&lt;0,J264,IF(P264&lt;O264,J264,C264))</f>
        <v>4.0421105596394264</v>
      </c>
      <c r="S264" s="44">
        <f t="shared" ca="1" si="64"/>
        <v>-95.996412051682398</v>
      </c>
    </row>
    <row r="265" spans="1:19" x14ac:dyDescent="0.4">
      <c r="A265" s="42">
        <v>264</v>
      </c>
      <c r="B265" s="41">
        <f t="shared" ca="1" si="53"/>
        <v>8.0064303850041529</v>
      </c>
      <c r="C265" s="41">
        <f t="shared" ca="1" si="54"/>
        <v>4.0421105596394264</v>
      </c>
      <c r="D265" s="41">
        <f t="shared" ca="1" si="55"/>
        <v>-95.996412051682398</v>
      </c>
      <c r="E265" s="42">
        <f t="shared" ca="1" si="56"/>
        <v>-0.89244054467449563</v>
      </c>
      <c r="F265" s="42">
        <v>0.5</v>
      </c>
      <c r="G265" s="43">
        <f t="shared" ca="1" si="57"/>
        <v>7.5602101126669048</v>
      </c>
      <c r="H265" s="42">
        <f t="shared" ca="1" si="58"/>
        <v>-0.38352335109791058</v>
      </c>
      <c r="I265" s="42">
        <v>0.5</v>
      </c>
      <c r="J265" s="43">
        <f t="shared" ca="1" si="59"/>
        <v>3.8503488840904714</v>
      </c>
      <c r="K265" s="43">
        <f t="shared" ca="1" si="60"/>
        <v>-95.761793942013611</v>
      </c>
      <c r="L265" s="42">
        <f t="shared" si="52"/>
        <v>8.3180684901594827E-13</v>
      </c>
      <c r="M265" s="42">
        <f ca="1">K265-D265</f>
        <v>0.23461810966878716</v>
      </c>
      <c r="N265" s="42">
        <f t="shared" ca="1" si="61"/>
        <v>282058400873.16809</v>
      </c>
      <c r="O265" s="42">
        <f t="shared" ca="1" si="62"/>
        <v>0</v>
      </c>
      <c r="P265" s="42">
        <f t="shared" ca="1" si="63"/>
        <v>0.1829060537239755</v>
      </c>
      <c r="Q265" s="44">
        <f ca="1">IF(M265&lt;0,G265,IF(P265&lt;O265,G265,B265))</f>
        <v>8.0064303850041529</v>
      </c>
      <c r="R265" s="44">
        <f ca="1">IF(N265&lt;0,J265,IF(P265&lt;O265,J265,C265))</f>
        <v>4.0421105596394264</v>
      </c>
      <c r="S265" s="44">
        <f t="shared" ca="1" si="64"/>
        <v>-95.996412051682398</v>
      </c>
    </row>
    <row r="266" spans="1:19" x14ac:dyDescent="0.4">
      <c r="A266" s="42">
        <v>265</v>
      </c>
      <c r="B266" s="41">
        <f t="shared" ca="1" si="53"/>
        <v>8.0064303850041529</v>
      </c>
      <c r="C266" s="41">
        <f t="shared" ca="1" si="54"/>
        <v>4.0421105596394264</v>
      </c>
      <c r="D266" s="41">
        <f t="shared" ca="1" si="55"/>
        <v>-95.996412051682398</v>
      </c>
      <c r="E266" s="42">
        <f t="shared" ca="1" si="56"/>
        <v>-0.55559770152752352</v>
      </c>
      <c r="F266" s="42">
        <v>0.5</v>
      </c>
      <c r="G266" s="43">
        <f t="shared" ca="1" si="57"/>
        <v>7.7286315342403915</v>
      </c>
      <c r="H266" s="42">
        <f t="shared" ca="1" si="58"/>
        <v>-0.25554943233953908</v>
      </c>
      <c r="I266" s="42">
        <v>0.5</v>
      </c>
      <c r="J266" s="43">
        <f t="shared" ca="1" si="59"/>
        <v>3.9143358434696571</v>
      </c>
      <c r="K266" s="43">
        <f t="shared" ca="1" si="60"/>
        <v>-95.911682460363167</v>
      </c>
      <c r="L266" s="42">
        <f t="shared" si="52"/>
        <v>7.4862616411435345E-13</v>
      </c>
      <c r="M266" s="42">
        <f ca="1">K266-D266</f>
        <v>8.472959131923119E-2</v>
      </c>
      <c r="N266" s="42">
        <f t="shared" ca="1" si="61"/>
        <v>113180109620.49231</v>
      </c>
      <c r="O266" s="42">
        <f t="shared" ca="1" si="62"/>
        <v>0</v>
      </c>
      <c r="P266" s="42">
        <f t="shared" ca="1" si="63"/>
        <v>0.36534452608244006</v>
      </c>
      <c r="Q266" s="44">
        <f ca="1">IF(M266&lt;0,G266,IF(P266&lt;O266,G266,B266))</f>
        <v>8.0064303850041529</v>
      </c>
      <c r="R266" s="44">
        <f ca="1">IF(N266&lt;0,J266,IF(P266&lt;O266,J266,C266))</f>
        <v>4.0421105596394264</v>
      </c>
      <c r="S266" s="44">
        <f t="shared" ca="1" si="64"/>
        <v>-95.996412051682398</v>
      </c>
    </row>
    <row r="267" spans="1:19" x14ac:dyDescent="0.4">
      <c r="A267" s="42">
        <v>266</v>
      </c>
      <c r="B267" s="41">
        <f t="shared" ca="1" si="53"/>
        <v>8.0064303850041529</v>
      </c>
      <c r="C267" s="41">
        <f t="shared" ca="1" si="54"/>
        <v>4.0421105596394264</v>
      </c>
      <c r="D267" s="41">
        <f t="shared" ca="1" si="55"/>
        <v>-95.996412051682398</v>
      </c>
      <c r="E267" s="42">
        <f t="shared" ca="1" si="56"/>
        <v>0.94322789603955659</v>
      </c>
      <c r="F267" s="42">
        <v>0.5</v>
      </c>
      <c r="G267" s="43">
        <f t="shared" ca="1" si="57"/>
        <v>8.4780443330239308</v>
      </c>
      <c r="H267" s="42">
        <f t="shared" ca="1" si="58"/>
        <v>0.79763435126727522</v>
      </c>
      <c r="I267" s="42">
        <v>0.5</v>
      </c>
      <c r="J267" s="43">
        <f t="shared" ca="1" si="59"/>
        <v>4.4409277352730641</v>
      </c>
      <c r="K267" s="43">
        <f t="shared" ca="1" si="60"/>
        <v>-95.382639080197634</v>
      </c>
      <c r="L267" s="42">
        <f t="shared" si="52"/>
        <v>6.737635477029181E-13</v>
      </c>
      <c r="M267" s="42">
        <f ca="1">K267-D267</f>
        <v>0.61377297148476373</v>
      </c>
      <c r="N267" s="42">
        <f t="shared" ca="1" si="61"/>
        <v>910961974089.15637</v>
      </c>
      <c r="O267" s="42">
        <f t="shared" ca="1" si="62"/>
        <v>0</v>
      </c>
      <c r="P267" s="42">
        <f t="shared" ca="1" si="63"/>
        <v>0.84010703985488799</v>
      </c>
      <c r="Q267" s="44">
        <f ca="1">IF(M267&lt;0,G267,IF(P267&lt;O267,G267,B267))</f>
        <v>8.0064303850041529</v>
      </c>
      <c r="R267" s="44">
        <f ca="1">IF(N267&lt;0,J267,IF(P267&lt;O267,J267,C267))</f>
        <v>4.0421105596394264</v>
      </c>
      <c r="S267" s="44">
        <f t="shared" ca="1" si="64"/>
        <v>-95.996412051682398</v>
      </c>
    </row>
    <row r="268" spans="1:19" x14ac:dyDescent="0.4">
      <c r="A268" s="42">
        <v>267</v>
      </c>
      <c r="B268" s="41">
        <f t="shared" ca="1" si="53"/>
        <v>8.0064303850041529</v>
      </c>
      <c r="C268" s="41">
        <f t="shared" ca="1" si="54"/>
        <v>4.0421105596394264</v>
      </c>
      <c r="D268" s="41">
        <f t="shared" ca="1" si="55"/>
        <v>-95.996412051682398</v>
      </c>
      <c r="E268" s="42">
        <f t="shared" ca="1" si="56"/>
        <v>0.30563452825744708</v>
      </c>
      <c r="F268" s="42">
        <v>0.5</v>
      </c>
      <c r="G268" s="43">
        <f t="shared" ca="1" si="57"/>
        <v>8.159247649132876</v>
      </c>
      <c r="H268" s="42">
        <f t="shared" ca="1" si="58"/>
        <v>0.56208787278848016</v>
      </c>
      <c r="I268" s="42">
        <v>0.5</v>
      </c>
      <c r="J268" s="43">
        <f t="shared" ca="1" si="59"/>
        <v>4.3231544960336663</v>
      </c>
      <c r="K268" s="43">
        <f t="shared" ca="1" si="60"/>
        <v>-95.765782529632105</v>
      </c>
      <c r="L268" s="42">
        <f t="shared" si="52"/>
        <v>6.0638719293262641E-13</v>
      </c>
      <c r="M268" s="42">
        <f ca="1">K268-D268</f>
        <v>0.23062952205029319</v>
      </c>
      <c r="N268" s="42">
        <f t="shared" ca="1" si="61"/>
        <v>380333761560.68921</v>
      </c>
      <c r="O268" s="42">
        <f t="shared" ca="1" si="62"/>
        <v>0</v>
      </c>
      <c r="P268" s="42">
        <f t="shared" ca="1" si="63"/>
        <v>0.62950706951083646</v>
      </c>
      <c r="Q268" s="44">
        <f ca="1">IF(M268&lt;0,G268,IF(P268&lt;O268,G268,B268))</f>
        <v>8.0064303850041529</v>
      </c>
      <c r="R268" s="44">
        <f ca="1">IF(N268&lt;0,J268,IF(P268&lt;O268,J268,C268))</f>
        <v>4.0421105596394264</v>
      </c>
      <c r="S268" s="44">
        <f t="shared" ca="1" si="64"/>
        <v>-95.996412051682398</v>
      </c>
    </row>
    <row r="269" spans="1:19" x14ac:dyDescent="0.4">
      <c r="A269" s="42">
        <v>268</v>
      </c>
      <c r="B269" s="41">
        <f t="shared" ca="1" si="53"/>
        <v>8.0064303850041529</v>
      </c>
      <c r="C269" s="41">
        <f t="shared" ca="1" si="54"/>
        <v>4.0421105596394264</v>
      </c>
      <c r="D269" s="41">
        <f t="shared" ca="1" si="55"/>
        <v>-95.996412051682398</v>
      </c>
      <c r="E269" s="42">
        <f t="shared" ca="1" si="56"/>
        <v>-0.40473418535726191</v>
      </c>
      <c r="F269" s="42">
        <v>0.5</v>
      </c>
      <c r="G269" s="43">
        <f t="shared" ca="1" si="57"/>
        <v>7.8040632923255222</v>
      </c>
      <c r="H269" s="42">
        <f t="shared" ca="1" si="58"/>
        <v>0.375117600609427</v>
      </c>
      <c r="I269" s="42">
        <v>0.5</v>
      </c>
      <c r="J269" s="43">
        <f t="shared" ca="1" si="59"/>
        <v>4.2296693599441397</v>
      </c>
      <c r="K269" s="43">
        <f t="shared" ca="1" si="60"/>
        <v>-95.856112776791377</v>
      </c>
      <c r="L269" s="42">
        <f t="shared" si="52"/>
        <v>5.4574847363936372E-13</v>
      </c>
      <c r="M269" s="42">
        <f ca="1">K269-D269</f>
        <v>0.14029927489102079</v>
      </c>
      <c r="N269" s="42">
        <f t="shared" ca="1" si="61"/>
        <v>257076806748.39966</v>
      </c>
      <c r="O269" s="42">
        <f t="shared" ca="1" si="62"/>
        <v>0</v>
      </c>
      <c r="P269" s="42">
        <f t="shared" ca="1" si="63"/>
        <v>0.22907752941994686</v>
      </c>
      <c r="Q269" s="44">
        <f ca="1">IF(M269&lt;0,G269,IF(P269&lt;O269,G269,B269))</f>
        <v>8.0064303850041529</v>
      </c>
      <c r="R269" s="44">
        <f ca="1">IF(N269&lt;0,J269,IF(P269&lt;O269,J269,C269))</f>
        <v>4.0421105596394264</v>
      </c>
      <c r="S269" s="44">
        <f t="shared" ca="1" si="64"/>
        <v>-95.996412051682398</v>
      </c>
    </row>
    <row r="270" spans="1:19" x14ac:dyDescent="0.4">
      <c r="A270" s="42">
        <v>269</v>
      </c>
      <c r="B270" s="41">
        <f t="shared" ca="1" si="53"/>
        <v>8.0064303850041529</v>
      </c>
      <c r="C270" s="41">
        <f t="shared" ca="1" si="54"/>
        <v>4.0421105596394264</v>
      </c>
      <c r="D270" s="41">
        <f t="shared" ca="1" si="55"/>
        <v>-95.996412051682398</v>
      </c>
      <c r="E270" s="42">
        <f t="shared" ca="1" si="56"/>
        <v>0.10421381777689032</v>
      </c>
      <c r="F270" s="42">
        <v>0.5</v>
      </c>
      <c r="G270" s="43">
        <f t="shared" ca="1" si="57"/>
        <v>8.0585372938925985</v>
      </c>
      <c r="H270" s="42">
        <f t="shared" ca="1" si="58"/>
        <v>-6.6413442664578604E-2</v>
      </c>
      <c r="I270" s="42">
        <v>0.5</v>
      </c>
      <c r="J270" s="43">
        <f t="shared" ca="1" si="59"/>
        <v>4.0089038383071376</v>
      </c>
      <c r="K270" s="43">
        <f t="shared" ca="1" si="60"/>
        <v>-95.996414828550527</v>
      </c>
      <c r="L270" s="42">
        <f t="shared" si="52"/>
        <v>4.9117362627542747E-13</v>
      </c>
      <c r="M270" s="42">
        <f ca="1">K270-D270</f>
        <v>-2.7768681292172914E-6</v>
      </c>
      <c r="N270" s="42">
        <f t="shared" ca="1" si="61"/>
        <v>-5653536.7142456304</v>
      </c>
      <c r="O270" s="42">
        <f t="shared" ca="1" si="62"/>
        <v>1</v>
      </c>
      <c r="P270" s="42">
        <f t="shared" ca="1" si="63"/>
        <v>0.33010989780826749</v>
      </c>
      <c r="Q270" s="44">
        <f ca="1">IF(M270&lt;0,G270,IF(P270&lt;O270,G270,B270))</f>
        <v>8.0585372938925985</v>
      </c>
      <c r="R270" s="44">
        <f ca="1">IF(N270&lt;0,J270,IF(P270&lt;O270,J270,C270))</f>
        <v>4.0089038383071376</v>
      </c>
      <c r="S270" s="44">
        <f t="shared" ca="1" si="64"/>
        <v>-95.996414828550527</v>
      </c>
    </row>
    <row r="271" spans="1:19" x14ac:dyDescent="0.4">
      <c r="A271" s="42">
        <v>270</v>
      </c>
      <c r="B271" s="41">
        <f t="shared" ca="1" si="53"/>
        <v>8.0585372938925985</v>
      </c>
      <c r="C271" s="41">
        <f t="shared" ca="1" si="54"/>
        <v>4.0089038383071376</v>
      </c>
      <c r="D271" s="41">
        <f t="shared" ca="1" si="55"/>
        <v>-95.996414828550527</v>
      </c>
      <c r="E271" s="42">
        <f t="shared" ca="1" si="56"/>
        <v>0.47742681859239688</v>
      </c>
      <c r="F271" s="42">
        <v>0.5</v>
      </c>
      <c r="G271" s="43">
        <f t="shared" ca="1" si="57"/>
        <v>8.2972507031887979</v>
      </c>
      <c r="H271" s="42">
        <f t="shared" ca="1" si="58"/>
        <v>0.32471082734540957</v>
      </c>
      <c r="I271" s="42">
        <v>0.5</v>
      </c>
      <c r="J271" s="43">
        <f t="shared" ca="1" si="59"/>
        <v>4.1712592519798424</v>
      </c>
      <c r="K271" s="43">
        <f t="shared" ca="1" si="60"/>
        <v>-95.85298255667638</v>
      </c>
      <c r="L271" s="42">
        <f t="shared" si="52"/>
        <v>4.4205626364788465E-13</v>
      </c>
      <c r="M271" s="42">
        <f ca="1">K271-D271</f>
        <v>0.14343227187414698</v>
      </c>
      <c r="N271" s="42">
        <f t="shared" ca="1" si="61"/>
        <v>324466100062.76593</v>
      </c>
      <c r="O271" s="42">
        <f t="shared" ca="1" si="62"/>
        <v>0</v>
      </c>
      <c r="P271" s="42">
        <f t="shared" ca="1" si="63"/>
        <v>0.82187920998139552</v>
      </c>
      <c r="Q271" s="44">
        <f ca="1">IF(M271&lt;0,G271,IF(P271&lt;O271,G271,B271))</f>
        <v>8.0585372938925985</v>
      </c>
      <c r="R271" s="44">
        <f ca="1">IF(N271&lt;0,J271,IF(P271&lt;O271,J271,C271))</f>
        <v>4.0089038383071376</v>
      </c>
      <c r="S271" s="44">
        <f t="shared" ca="1" si="64"/>
        <v>-95.996414828550527</v>
      </c>
    </row>
    <row r="272" spans="1:19" x14ac:dyDescent="0.4">
      <c r="A272" s="42">
        <v>271</v>
      </c>
      <c r="B272" s="41">
        <f t="shared" ca="1" si="53"/>
        <v>8.0585372938925985</v>
      </c>
      <c r="C272" s="41">
        <f t="shared" ca="1" si="54"/>
        <v>4.0089038383071376</v>
      </c>
      <c r="D272" s="41">
        <f t="shared" ca="1" si="55"/>
        <v>-95.996414828550527</v>
      </c>
      <c r="E272" s="42">
        <f t="shared" ca="1" si="56"/>
        <v>0.24993140216758225</v>
      </c>
      <c r="F272" s="42">
        <v>0.5</v>
      </c>
      <c r="G272" s="43">
        <f t="shared" ca="1" si="57"/>
        <v>8.18350299497639</v>
      </c>
      <c r="H272" s="42">
        <f t="shared" ca="1" si="58"/>
        <v>-0.86823131931630604</v>
      </c>
      <c r="I272" s="42">
        <v>0.5</v>
      </c>
      <c r="J272" s="43">
        <f t="shared" ca="1" si="59"/>
        <v>3.5747881786489843</v>
      </c>
      <c r="K272" s="43">
        <f t="shared" ca="1" si="60"/>
        <v>-95.604716464801385</v>
      </c>
      <c r="L272" s="42">
        <f t="shared" si="52"/>
        <v>3.978506372830962E-13</v>
      </c>
      <c r="M272" s="42">
        <f ca="1">K272-D272</f>
        <v>0.39169836374914269</v>
      </c>
      <c r="N272" s="42">
        <f t="shared" ca="1" si="61"/>
        <v>984536223000.75452</v>
      </c>
      <c r="O272" s="42">
        <f t="shared" ca="1" si="62"/>
        <v>0</v>
      </c>
      <c r="P272" s="42">
        <f t="shared" ca="1" si="63"/>
        <v>0.90206848681742757</v>
      </c>
      <c r="Q272" s="44">
        <f ca="1">IF(M272&lt;0,G272,IF(P272&lt;O272,G272,B272))</f>
        <v>8.0585372938925985</v>
      </c>
      <c r="R272" s="44">
        <f ca="1">IF(N272&lt;0,J272,IF(P272&lt;O272,J272,C272))</f>
        <v>4.0089038383071376</v>
      </c>
      <c r="S272" s="44">
        <f t="shared" ca="1" si="64"/>
        <v>-95.996414828550527</v>
      </c>
    </row>
    <row r="273" spans="1:19" x14ac:dyDescent="0.4">
      <c r="A273" s="42">
        <v>272</v>
      </c>
      <c r="B273" s="41">
        <f t="shared" ca="1" si="53"/>
        <v>8.0585372938925985</v>
      </c>
      <c r="C273" s="41">
        <f t="shared" ca="1" si="54"/>
        <v>4.0089038383071376</v>
      </c>
      <c r="D273" s="41">
        <f t="shared" ca="1" si="55"/>
        <v>-95.996414828550527</v>
      </c>
      <c r="E273" s="42">
        <f t="shared" ca="1" si="56"/>
        <v>0.84767077979943428</v>
      </c>
      <c r="F273" s="42">
        <v>0.5</v>
      </c>
      <c r="G273" s="43">
        <f t="shared" ca="1" si="57"/>
        <v>8.482372683792315</v>
      </c>
      <c r="H273" s="42">
        <f t="shared" ca="1" si="58"/>
        <v>-0.10715269383485171</v>
      </c>
      <c r="I273" s="42">
        <v>0.5</v>
      </c>
      <c r="J273" s="43">
        <f t="shared" ca="1" si="59"/>
        <v>3.9553274913897116</v>
      </c>
      <c r="K273" s="43">
        <f t="shared" ca="1" si="60"/>
        <v>-95.763325327879926</v>
      </c>
      <c r="L273" s="42">
        <f t="shared" si="52"/>
        <v>3.5806557355478666E-13</v>
      </c>
      <c r="M273" s="42">
        <f ca="1">K273-D273</f>
        <v>0.23308950067060152</v>
      </c>
      <c r="N273" s="42">
        <f t="shared" ca="1" si="61"/>
        <v>650968755126.46045</v>
      </c>
      <c r="O273" s="42">
        <f t="shared" ca="1" si="62"/>
        <v>0</v>
      </c>
      <c r="P273" s="42">
        <f t="shared" ca="1" si="63"/>
        <v>0.37172872718889316</v>
      </c>
      <c r="Q273" s="44">
        <f ca="1">IF(M273&lt;0,G273,IF(P273&lt;O273,G273,B273))</f>
        <v>8.0585372938925985</v>
      </c>
      <c r="R273" s="44">
        <f ca="1">IF(N273&lt;0,J273,IF(P273&lt;O273,J273,C273))</f>
        <v>4.0089038383071376</v>
      </c>
      <c r="S273" s="44">
        <f t="shared" ca="1" si="64"/>
        <v>-95.996414828550527</v>
      </c>
    </row>
    <row r="274" spans="1:19" x14ac:dyDescent="0.4">
      <c r="A274" s="42">
        <v>273</v>
      </c>
      <c r="B274" s="41">
        <f t="shared" ca="1" si="53"/>
        <v>8.0585372938925985</v>
      </c>
      <c r="C274" s="41">
        <f t="shared" ca="1" si="54"/>
        <v>4.0089038383071376</v>
      </c>
      <c r="D274" s="41">
        <f t="shared" ca="1" si="55"/>
        <v>-95.996414828550527</v>
      </c>
      <c r="E274" s="42">
        <f t="shared" ca="1" si="56"/>
        <v>0.7288999822477602</v>
      </c>
      <c r="F274" s="42">
        <v>0.5</v>
      </c>
      <c r="G274" s="43">
        <f t="shared" ca="1" si="57"/>
        <v>8.4229872850164789</v>
      </c>
      <c r="H274" s="42">
        <f t="shared" ca="1" si="58"/>
        <v>-0.17870767857299708</v>
      </c>
      <c r="I274" s="42">
        <v>0.5</v>
      </c>
      <c r="J274" s="43">
        <f t="shared" ca="1" si="59"/>
        <v>3.9195499990206391</v>
      </c>
      <c r="K274" s="43">
        <f t="shared" ca="1" si="60"/>
        <v>-95.808137351399239</v>
      </c>
      <c r="L274" s="42">
        <f t="shared" si="52"/>
        <v>3.2225901619930797E-13</v>
      </c>
      <c r="M274" s="42">
        <f ca="1">K274-D274</f>
        <v>0.18827747715128851</v>
      </c>
      <c r="N274" s="42">
        <f t="shared" ca="1" si="61"/>
        <v>584242698223.97852</v>
      </c>
      <c r="O274" s="42">
        <f t="shared" ca="1" si="62"/>
        <v>0</v>
      </c>
      <c r="P274" s="42">
        <f t="shared" ca="1" si="63"/>
        <v>0.11898821282450522</v>
      </c>
      <c r="Q274" s="44">
        <f ca="1">IF(M274&lt;0,G274,IF(P274&lt;O274,G274,B274))</f>
        <v>8.0585372938925985</v>
      </c>
      <c r="R274" s="44">
        <f ca="1">IF(N274&lt;0,J274,IF(P274&lt;O274,J274,C274))</f>
        <v>4.0089038383071376</v>
      </c>
      <c r="S274" s="44">
        <f t="shared" ca="1" si="64"/>
        <v>-95.996414828550527</v>
      </c>
    </row>
    <row r="275" spans="1:19" x14ac:dyDescent="0.4">
      <c r="A275" s="42">
        <v>274</v>
      </c>
      <c r="B275" s="41">
        <f t="shared" ca="1" si="53"/>
        <v>8.0585372938925985</v>
      </c>
      <c r="C275" s="41">
        <f t="shared" ca="1" si="54"/>
        <v>4.0089038383071376</v>
      </c>
      <c r="D275" s="41">
        <f t="shared" ca="1" si="55"/>
        <v>-95.996414828550527</v>
      </c>
      <c r="E275" s="42">
        <f t="shared" ca="1" si="56"/>
        <v>-0.35694050829207358</v>
      </c>
      <c r="F275" s="42">
        <v>0.5</v>
      </c>
      <c r="G275" s="43">
        <f t="shared" ca="1" si="57"/>
        <v>7.880067039746562</v>
      </c>
      <c r="H275" s="42">
        <f t="shared" ca="1" si="58"/>
        <v>0.38656683048767815</v>
      </c>
      <c r="I275" s="42">
        <v>0.5</v>
      </c>
      <c r="J275" s="43">
        <f t="shared" ca="1" si="59"/>
        <v>4.202187253550977</v>
      </c>
      <c r="K275" s="43">
        <f t="shared" ca="1" si="60"/>
        <v>-95.903856714047862</v>
      </c>
      <c r="L275" s="42">
        <f t="shared" si="52"/>
        <v>2.9003311457937717E-13</v>
      </c>
      <c r="M275" s="42">
        <f ca="1">K275-D275</f>
        <v>9.2558114502665489E-2</v>
      </c>
      <c r="N275" s="42">
        <f t="shared" ca="1" si="61"/>
        <v>319129471256.75159</v>
      </c>
      <c r="O275" s="42">
        <f t="shared" ca="1" si="62"/>
        <v>0</v>
      </c>
      <c r="P275" s="42">
        <f t="shared" ca="1" si="63"/>
        <v>0.11057157416813612</v>
      </c>
      <c r="Q275" s="44">
        <f ca="1">IF(M275&lt;0,G275,IF(P275&lt;O275,G275,B275))</f>
        <v>8.0585372938925985</v>
      </c>
      <c r="R275" s="44">
        <f ca="1">IF(N275&lt;0,J275,IF(P275&lt;O275,J275,C275))</f>
        <v>4.0089038383071376</v>
      </c>
      <c r="S275" s="44">
        <f t="shared" ca="1" si="64"/>
        <v>-95.996414828550527</v>
      </c>
    </row>
    <row r="276" spans="1:19" x14ac:dyDescent="0.4">
      <c r="A276" s="42">
        <v>275</v>
      </c>
      <c r="B276" s="41">
        <f t="shared" ca="1" si="53"/>
        <v>8.0585372938925985</v>
      </c>
      <c r="C276" s="41">
        <f t="shared" ca="1" si="54"/>
        <v>4.0089038383071376</v>
      </c>
      <c r="D276" s="41">
        <f t="shared" ca="1" si="55"/>
        <v>-95.996414828550527</v>
      </c>
      <c r="E276" s="42">
        <f t="shared" ca="1" si="56"/>
        <v>0.3756412690644908</v>
      </c>
      <c r="F276" s="42">
        <v>0.5</v>
      </c>
      <c r="G276" s="43">
        <f t="shared" ca="1" si="57"/>
        <v>8.2463579284248443</v>
      </c>
      <c r="H276" s="42">
        <f t="shared" ca="1" si="58"/>
        <v>-0.5912735635877564</v>
      </c>
      <c r="I276" s="42">
        <v>0.5</v>
      </c>
      <c r="J276" s="43">
        <f t="shared" ca="1" si="59"/>
        <v>3.7132670565132595</v>
      </c>
      <c r="K276" s="43">
        <f t="shared" ca="1" si="60"/>
        <v>-95.774876209341073</v>
      </c>
      <c r="L276" s="42">
        <f t="shared" si="52"/>
        <v>2.6102980312143949E-13</v>
      </c>
      <c r="M276" s="42">
        <f ca="1">K276-D276</f>
        <v>0.22153861920945417</v>
      </c>
      <c r="N276" s="42">
        <f t="shared" ca="1" si="61"/>
        <v>848710057473.3501</v>
      </c>
      <c r="O276" s="42">
        <f t="shared" ca="1" si="62"/>
        <v>0</v>
      </c>
      <c r="P276" s="42">
        <f t="shared" ca="1" si="63"/>
        <v>0.18318214966484825</v>
      </c>
      <c r="Q276" s="44">
        <f ca="1">IF(M276&lt;0,G276,IF(P276&lt;O276,G276,B276))</f>
        <v>8.0585372938925985</v>
      </c>
      <c r="R276" s="44">
        <f ca="1">IF(N276&lt;0,J276,IF(P276&lt;O276,J276,C276))</f>
        <v>4.0089038383071376</v>
      </c>
      <c r="S276" s="44">
        <f t="shared" ca="1" si="64"/>
        <v>-95.996414828550527</v>
      </c>
    </row>
    <row r="277" spans="1:19" x14ac:dyDescent="0.4">
      <c r="A277" s="42">
        <v>276</v>
      </c>
      <c r="B277" s="41">
        <f t="shared" ca="1" si="53"/>
        <v>8.0585372938925985</v>
      </c>
      <c r="C277" s="41">
        <f t="shared" ca="1" si="54"/>
        <v>4.0089038383071376</v>
      </c>
      <c r="D277" s="41">
        <f t="shared" ca="1" si="55"/>
        <v>-95.996414828550527</v>
      </c>
      <c r="E277" s="42">
        <f t="shared" ca="1" si="56"/>
        <v>-0.57478855442500465</v>
      </c>
      <c r="F277" s="42">
        <v>0.5</v>
      </c>
      <c r="G277" s="43">
        <f t="shared" ca="1" si="57"/>
        <v>7.7711430166800959</v>
      </c>
      <c r="H277" s="42">
        <f t="shared" ca="1" si="58"/>
        <v>-0.31714215910618204</v>
      </c>
      <c r="I277" s="42">
        <v>0.5</v>
      </c>
      <c r="J277" s="43">
        <f t="shared" ca="1" si="59"/>
        <v>3.8503327587540466</v>
      </c>
      <c r="K277" s="43">
        <f t="shared" ca="1" si="60"/>
        <v>-95.902823914981354</v>
      </c>
      <c r="L277" s="42">
        <f t="shared" si="52"/>
        <v>2.3492682280929558E-13</v>
      </c>
      <c r="M277" s="42">
        <f ca="1">K277-D277</f>
        <v>9.359091356917304E-2</v>
      </c>
      <c r="N277" s="42">
        <f t="shared" ca="1" si="61"/>
        <v>398383260157.34052</v>
      </c>
      <c r="O277" s="42">
        <f t="shared" ca="1" si="62"/>
        <v>0</v>
      </c>
      <c r="P277" s="42">
        <f t="shared" ca="1" si="63"/>
        <v>0.65815520952785467</v>
      </c>
      <c r="Q277" s="44">
        <f ca="1">IF(M277&lt;0,G277,IF(P277&lt;O277,G277,B277))</f>
        <v>8.0585372938925985</v>
      </c>
      <c r="R277" s="44">
        <f ca="1">IF(N277&lt;0,J277,IF(P277&lt;O277,J277,C277))</f>
        <v>4.0089038383071376</v>
      </c>
      <c r="S277" s="44">
        <f t="shared" ca="1" si="64"/>
        <v>-95.996414828550527</v>
      </c>
    </row>
    <row r="278" spans="1:19" x14ac:dyDescent="0.4">
      <c r="A278" s="42">
        <v>277</v>
      </c>
      <c r="B278" s="41">
        <f t="shared" ca="1" si="53"/>
        <v>8.0585372938925985</v>
      </c>
      <c r="C278" s="41">
        <f t="shared" ca="1" si="54"/>
        <v>4.0089038383071376</v>
      </c>
      <c r="D278" s="41">
        <f t="shared" ca="1" si="55"/>
        <v>-95.996414828550527</v>
      </c>
      <c r="E278" s="42">
        <f t="shared" ca="1" si="56"/>
        <v>-0.72232100297760149</v>
      </c>
      <c r="F278" s="42">
        <v>0.5</v>
      </c>
      <c r="G278" s="43">
        <f t="shared" ca="1" si="57"/>
        <v>7.6973767924037979</v>
      </c>
      <c r="H278" s="42">
        <f t="shared" ca="1" si="58"/>
        <v>0.58241927969475293</v>
      </c>
      <c r="I278" s="42">
        <v>0.5</v>
      </c>
      <c r="J278" s="43">
        <f t="shared" ca="1" si="59"/>
        <v>4.3001134781545138</v>
      </c>
      <c r="K278" s="43">
        <f t="shared" ca="1" si="60"/>
        <v>-95.728282994684179</v>
      </c>
      <c r="L278" s="42">
        <f t="shared" si="52"/>
        <v>2.1143414052836601E-13</v>
      </c>
      <c r="M278" s="42">
        <f ca="1">K278-D278</f>
        <v>0.26813183386634876</v>
      </c>
      <c r="N278" s="42">
        <f t="shared" ca="1" si="61"/>
        <v>1268157702423.541</v>
      </c>
      <c r="O278" s="42">
        <f t="shared" ca="1" si="62"/>
        <v>0</v>
      </c>
      <c r="P278" s="42">
        <f t="shared" ca="1" si="63"/>
        <v>0.33872067607394918</v>
      </c>
      <c r="Q278" s="44">
        <f ca="1">IF(M278&lt;0,G278,IF(P278&lt;O278,G278,B278))</f>
        <v>8.0585372938925985</v>
      </c>
      <c r="R278" s="44">
        <f ca="1">IF(N278&lt;0,J278,IF(P278&lt;O278,J278,C278))</f>
        <v>4.0089038383071376</v>
      </c>
      <c r="S278" s="44">
        <f t="shared" ca="1" si="64"/>
        <v>-95.996414828550527</v>
      </c>
    </row>
    <row r="279" spans="1:19" x14ac:dyDescent="0.4">
      <c r="A279" s="42">
        <v>278</v>
      </c>
      <c r="B279" s="41">
        <f t="shared" ca="1" si="53"/>
        <v>8.0585372938925985</v>
      </c>
      <c r="C279" s="41">
        <f t="shared" ca="1" si="54"/>
        <v>4.0089038383071376</v>
      </c>
      <c r="D279" s="41">
        <f t="shared" ca="1" si="55"/>
        <v>-95.996414828550527</v>
      </c>
      <c r="E279" s="42">
        <f t="shared" ca="1" si="56"/>
        <v>-0.81368411487395398</v>
      </c>
      <c r="F279" s="42">
        <v>0.5</v>
      </c>
      <c r="G279" s="43">
        <f t="shared" ca="1" si="57"/>
        <v>7.6516952364556214</v>
      </c>
      <c r="H279" s="42">
        <f t="shared" ca="1" si="58"/>
        <v>0.47481324154402005</v>
      </c>
      <c r="I279" s="42">
        <v>0.5</v>
      </c>
      <c r="J279" s="43">
        <f t="shared" ca="1" si="59"/>
        <v>4.2463104590791474</v>
      </c>
      <c r="K279" s="43">
        <f t="shared" ca="1" si="60"/>
        <v>-95.757346107188738</v>
      </c>
      <c r="L279" s="42">
        <f t="shared" si="52"/>
        <v>1.9029072647552944E-13</v>
      </c>
      <c r="M279" s="42">
        <f ca="1">K279-D279</f>
        <v>0.23906872136178947</v>
      </c>
      <c r="N279" s="42">
        <f t="shared" ca="1" si="61"/>
        <v>1256334062041.2876</v>
      </c>
      <c r="O279" s="42">
        <f t="shared" ca="1" si="62"/>
        <v>0</v>
      </c>
      <c r="P279" s="42">
        <f t="shared" ca="1" si="63"/>
        <v>0.78396495712561831</v>
      </c>
      <c r="Q279" s="44">
        <f ca="1">IF(M279&lt;0,G279,IF(P279&lt;O279,G279,B279))</f>
        <v>8.0585372938925985</v>
      </c>
      <c r="R279" s="44">
        <f ca="1">IF(N279&lt;0,J279,IF(P279&lt;O279,J279,C279))</f>
        <v>4.0089038383071376</v>
      </c>
      <c r="S279" s="44">
        <f t="shared" ca="1" si="64"/>
        <v>-95.996414828550527</v>
      </c>
    </row>
    <row r="280" spans="1:19" x14ac:dyDescent="0.4">
      <c r="A280" s="42">
        <v>279</v>
      </c>
      <c r="B280" s="41">
        <f t="shared" ca="1" si="53"/>
        <v>8.0585372938925985</v>
      </c>
      <c r="C280" s="41">
        <f t="shared" ca="1" si="54"/>
        <v>4.0089038383071376</v>
      </c>
      <c r="D280" s="41">
        <f t="shared" ca="1" si="55"/>
        <v>-95.996414828550527</v>
      </c>
      <c r="E280" s="42">
        <f t="shared" ca="1" si="56"/>
        <v>-0.90813384367872674</v>
      </c>
      <c r="F280" s="42">
        <v>0.5</v>
      </c>
      <c r="G280" s="43">
        <f t="shared" ca="1" si="57"/>
        <v>7.6044703720532354</v>
      </c>
      <c r="H280" s="42">
        <f t="shared" ca="1" si="58"/>
        <v>7.2119803474353983E-2</v>
      </c>
      <c r="I280" s="42">
        <v>0.5</v>
      </c>
      <c r="J280" s="43">
        <f t="shared" ca="1" si="59"/>
        <v>4.0449637400443148</v>
      </c>
      <c r="K280" s="43">
        <f t="shared" ca="1" si="60"/>
        <v>-95.839512837578752</v>
      </c>
      <c r="L280" s="42">
        <f t="shared" si="52"/>
        <v>1.7126165382797648E-13</v>
      </c>
      <c r="M280" s="42">
        <f ca="1">K280-D280</f>
        <v>0.15690199097177526</v>
      </c>
      <c r="N280" s="42">
        <f t="shared" ca="1" si="61"/>
        <v>916153659997.79053</v>
      </c>
      <c r="O280" s="42">
        <f t="shared" ca="1" si="62"/>
        <v>0</v>
      </c>
      <c r="P280" s="42">
        <f t="shared" ca="1" si="63"/>
        <v>0.57049784212944965</v>
      </c>
      <c r="Q280" s="44">
        <f ca="1">IF(M280&lt;0,G280,IF(P280&lt;O280,G280,B280))</f>
        <v>8.0585372938925985</v>
      </c>
      <c r="R280" s="44">
        <f ca="1">IF(N280&lt;0,J280,IF(P280&lt;O280,J280,C280))</f>
        <v>4.0089038383071376</v>
      </c>
      <c r="S280" s="44">
        <f t="shared" ca="1" si="64"/>
        <v>-95.996414828550527</v>
      </c>
    </row>
    <row r="281" spans="1:19" x14ac:dyDescent="0.4">
      <c r="A281" s="42">
        <v>280</v>
      </c>
      <c r="B281" s="41">
        <f t="shared" ca="1" si="53"/>
        <v>8.0585372938925985</v>
      </c>
      <c r="C281" s="41">
        <f t="shared" ca="1" si="54"/>
        <v>4.0089038383071376</v>
      </c>
      <c r="D281" s="41">
        <f t="shared" ca="1" si="55"/>
        <v>-95.996414828550527</v>
      </c>
      <c r="E281" s="42">
        <f t="shared" ca="1" si="56"/>
        <v>0.51304530607994803</v>
      </c>
      <c r="F281" s="42">
        <v>0.5</v>
      </c>
      <c r="G281" s="43">
        <f t="shared" ca="1" si="57"/>
        <v>8.315059946932573</v>
      </c>
      <c r="H281" s="42">
        <f t="shared" ca="1" si="58"/>
        <v>-0.54578933497822857</v>
      </c>
      <c r="I281" s="42">
        <v>0.5</v>
      </c>
      <c r="J281" s="43">
        <f t="shared" ca="1" si="59"/>
        <v>3.7360091708180234</v>
      </c>
      <c r="K281" s="43">
        <f t="shared" ca="1" si="60"/>
        <v>-95.761354914054465</v>
      </c>
      <c r="L281" s="42">
        <f t="shared" si="52"/>
        <v>1.5413548844517884E-13</v>
      </c>
      <c r="M281" s="42">
        <f ca="1">K281-D281</f>
        <v>0.23505991449606256</v>
      </c>
      <c r="N281" s="42">
        <f t="shared" ca="1" si="61"/>
        <v>1525021374812.4983</v>
      </c>
      <c r="O281" s="42">
        <f t="shared" ca="1" si="62"/>
        <v>0</v>
      </c>
      <c r="P281" s="42">
        <f t="shared" ca="1" si="63"/>
        <v>0.9768828376675599</v>
      </c>
      <c r="Q281" s="44">
        <f ca="1">IF(M281&lt;0,G281,IF(P281&lt;O281,G281,B281))</f>
        <v>8.0585372938925985</v>
      </c>
      <c r="R281" s="44">
        <f ca="1">IF(N281&lt;0,J281,IF(P281&lt;O281,J281,C281))</f>
        <v>4.0089038383071376</v>
      </c>
      <c r="S281" s="44">
        <f t="shared" ca="1" si="64"/>
        <v>-95.996414828550527</v>
      </c>
    </row>
    <row r="282" spans="1:19" x14ac:dyDescent="0.4">
      <c r="A282" s="42">
        <v>281</v>
      </c>
      <c r="B282" s="41">
        <f t="shared" ca="1" si="53"/>
        <v>8.0585372938925985</v>
      </c>
      <c r="C282" s="41">
        <f t="shared" ca="1" si="54"/>
        <v>4.0089038383071376</v>
      </c>
      <c r="D282" s="41">
        <f t="shared" ca="1" si="55"/>
        <v>-95.996414828550527</v>
      </c>
      <c r="E282" s="42">
        <f t="shared" ca="1" si="56"/>
        <v>-0.51341355032977254</v>
      </c>
      <c r="F282" s="42">
        <v>0.5</v>
      </c>
      <c r="G282" s="43">
        <f t="shared" ca="1" si="57"/>
        <v>7.8018305187277122</v>
      </c>
      <c r="H282" s="42">
        <f t="shared" ca="1" si="58"/>
        <v>0.48829650448507667</v>
      </c>
      <c r="I282" s="42">
        <v>0.5</v>
      </c>
      <c r="J282" s="43">
        <f t="shared" ca="1" si="59"/>
        <v>4.2530520905496756</v>
      </c>
      <c r="K282" s="43">
        <f t="shared" ca="1" si="60"/>
        <v>-95.832658135629146</v>
      </c>
      <c r="L282" s="42">
        <f t="shared" si="52"/>
        <v>1.3872193960066096E-13</v>
      </c>
      <c r="M282" s="42">
        <f ca="1">K282-D282</f>
        <v>0.16375669292138184</v>
      </c>
      <c r="N282" s="42">
        <f t="shared" ca="1" si="61"/>
        <v>1180467151719.3926</v>
      </c>
      <c r="O282" s="42">
        <f t="shared" ca="1" si="62"/>
        <v>0</v>
      </c>
      <c r="P282" s="42">
        <f t="shared" ca="1" si="63"/>
        <v>0.36013250558733167</v>
      </c>
      <c r="Q282" s="44">
        <f ca="1">IF(M282&lt;0,G282,IF(P282&lt;O282,G282,B282))</f>
        <v>8.0585372938925985</v>
      </c>
      <c r="R282" s="44">
        <f ca="1">IF(N282&lt;0,J282,IF(P282&lt;O282,J282,C282))</f>
        <v>4.0089038383071376</v>
      </c>
      <c r="S282" s="44">
        <f t="shared" ca="1" si="64"/>
        <v>-95.996414828550527</v>
      </c>
    </row>
    <row r="283" spans="1:19" x14ac:dyDescent="0.4">
      <c r="A283" s="42">
        <v>282</v>
      </c>
      <c r="B283" s="41">
        <f t="shared" ca="1" si="53"/>
        <v>8.0585372938925985</v>
      </c>
      <c r="C283" s="41">
        <f t="shared" ca="1" si="54"/>
        <v>4.0089038383071376</v>
      </c>
      <c r="D283" s="41">
        <f t="shared" ca="1" si="55"/>
        <v>-95.996414828550527</v>
      </c>
      <c r="E283" s="42">
        <f t="shared" ca="1" si="56"/>
        <v>-0.25047588413420363</v>
      </c>
      <c r="F283" s="42">
        <v>0.5</v>
      </c>
      <c r="G283" s="43">
        <f t="shared" ca="1" si="57"/>
        <v>7.9332993518254966</v>
      </c>
      <c r="H283" s="42">
        <f t="shared" ca="1" si="58"/>
        <v>0.27085865823429467</v>
      </c>
      <c r="I283" s="42">
        <v>0.5</v>
      </c>
      <c r="J283" s="43">
        <f t="shared" ca="1" si="59"/>
        <v>4.1443331674242847</v>
      </c>
      <c r="K283" s="43">
        <f t="shared" ca="1" si="60"/>
        <v>-95.953886897095657</v>
      </c>
      <c r="L283" s="42">
        <f t="shared" si="52"/>
        <v>1.2484974564059487E-13</v>
      </c>
      <c r="M283" s="42">
        <f ca="1">K283-D283</f>
        <v>4.2527931454870327E-2</v>
      </c>
      <c r="N283" s="42">
        <f t="shared" ca="1" si="61"/>
        <v>340632904269.54926</v>
      </c>
      <c r="O283" s="42">
        <f t="shared" ca="1" si="62"/>
        <v>0</v>
      </c>
      <c r="P283" s="42">
        <f t="shared" ca="1" si="63"/>
        <v>0.96526101177526935</v>
      </c>
      <c r="Q283" s="44">
        <f ca="1">IF(M283&lt;0,G283,IF(P283&lt;O283,G283,B283))</f>
        <v>8.0585372938925985</v>
      </c>
      <c r="R283" s="44">
        <f ca="1">IF(N283&lt;0,J283,IF(P283&lt;O283,J283,C283))</f>
        <v>4.0089038383071376</v>
      </c>
      <c r="S283" s="44">
        <f t="shared" ca="1" si="64"/>
        <v>-95.996414828550527</v>
      </c>
    </row>
    <row r="284" spans="1:19" x14ac:dyDescent="0.4">
      <c r="A284" s="42">
        <v>283</v>
      </c>
      <c r="B284" s="41">
        <f t="shared" ca="1" si="53"/>
        <v>8.0585372938925985</v>
      </c>
      <c r="C284" s="41">
        <f t="shared" ca="1" si="54"/>
        <v>4.0089038383071376</v>
      </c>
      <c r="D284" s="41">
        <f t="shared" ca="1" si="55"/>
        <v>-95.996414828550527</v>
      </c>
      <c r="E284" s="42">
        <f t="shared" ca="1" si="56"/>
        <v>-0.81657115903405142</v>
      </c>
      <c r="F284" s="42">
        <v>0.5</v>
      </c>
      <c r="G284" s="43">
        <f t="shared" ca="1" si="57"/>
        <v>7.6502517143755728</v>
      </c>
      <c r="H284" s="42">
        <f t="shared" ca="1" si="58"/>
        <v>0.4058559361410452</v>
      </c>
      <c r="I284" s="42">
        <v>0.5</v>
      </c>
      <c r="J284" s="43">
        <f t="shared" ca="1" si="59"/>
        <v>4.2118318063776599</v>
      </c>
      <c r="K284" s="43">
        <f t="shared" ca="1" si="60"/>
        <v>-95.787930708316338</v>
      </c>
      <c r="L284" s="42">
        <f t="shared" si="52"/>
        <v>1.1236477107653539E-13</v>
      </c>
      <c r="M284" s="42">
        <f ca="1">K284-D284</f>
        <v>0.20848412023418916</v>
      </c>
      <c r="N284" s="42">
        <f t="shared" ca="1" si="61"/>
        <v>1855422462367.5305</v>
      </c>
      <c r="O284" s="42">
        <f t="shared" ca="1" si="62"/>
        <v>0</v>
      </c>
      <c r="P284" s="42">
        <f t="shared" ca="1" si="63"/>
        <v>0.91036645279531891</v>
      </c>
      <c r="Q284" s="44">
        <f ca="1">IF(M284&lt;0,G284,IF(P284&lt;O284,G284,B284))</f>
        <v>8.0585372938925985</v>
      </c>
      <c r="R284" s="44">
        <f ca="1">IF(N284&lt;0,J284,IF(P284&lt;O284,J284,C284))</f>
        <v>4.0089038383071376</v>
      </c>
      <c r="S284" s="44">
        <f t="shared" ca="1" si="64"/>
        <v>-95.996414828550527</v>
      </c>
    </row>
    <row r="285" spans="1:19" x14ac:dyDescent="0.4">
      <c r="A285" s="42">
        <v>284</v>
      </c>
      <c r="B285" s="41">
        <f t="shared" ca="1" si="53"/>
        <v>8.0585372938925985</v>
      </c>
      <c r="C285" s="41">
        <f t="shared" ca="1" si="54"/>
        <v>4.0089038383071376</v>
      </c>
      <c r="D285" s="41">
        <f t="shared" ca="1" si="55"/>
        <v>-95.996414828550527</v>
      </c>
      <c r="E285" s="42">
        <f t="shared" ca="1" si="56"/>
        <v>0.83476220212679975</v>
      </c>
      <c r="F285" s="42">
        <v>0.5</v>
      </c>
      <c r="G285" s="43">
        <f t="shared" ca="1" si="57"/>
        <v>8.4759183949559986</v>
      </c>
      <c r="H285" s="42">
        <f t="shared" ca="1" si="58"/>
        <v>-5.1191300929081196E-2</v>
      </c>
      <c r="I285" s="42">
        <v>0.5</v>
      </c>
      <c r="J285" s="43">
        <f t="shared" ca="1" si="59"/>
        <v>3.9833081878425971</v>
      </c>
      <c r="K285" s="43">
        <f t="shared" ca="1" si="60"/>
        <v>-95.772944448156323</v>
      </c>
      <c r="L285" s="42">
        <f t="shared" si="52"/>
        <v>1.0112829396888186E-13</v>
      </c>
      <c r="M285" s="42">
        <f ca="1">K285-D285</f>
        <v>0.22347038039420397</v>
      </c>
      <c r="N285" s="42">
        <f t="shared" ca="1" si="61"/>
        <v>2209771090007.3916</v>
      </c>
      <c r="O285" s="42">
        <f t="shared" ca="1" si="62"/>
        <v>0</v>
      </c>
      <c r="P285" s="42">
        <f t="shared" ca="1" si="63"/>
        <v>0.41778205187134276</v>
      </c>
      <c r="Q285" s="44">
        <f ca="1">IF(M285&lt;0,G285,IF(P285&lt;O285,G285,B285))</f>
        <v>8.0585372938925985</v>
      </c>
      <c r="R285" s="44">
        <f ca="1">IF(N285&lt;0,J285,IF(P285&lt;O285,J285,C285))</f>
        <v>4.0089038383071376</v>
      </c>
      <c r="S285" s="44">
        <f t="shared" ca="1" si="64"/>
        <v>-95.996414828550527</v>
      </c>
    </row>
    <row r="286" spans="1:19" x14ac:dyDescent="0.4">
      <c r="A286" s="42">
        <v>285</v>
      </c>
      <c r="B286" s="41">
        <f t="shared" ca="1" si="53"/>
        <v>8.0585372938925985</v>
      </c>
      <c r="C286" s="41">
        <f t="shared" ca="1" si="54"/>
        <v>4.0089038383071376</v>
      </c>
      <c r="D286" s="41">
        <f t="shared" ca="1" si="55"/>
        <v>-95.996414828550527</v>
      </c>
      <c r="E286" s="42">
        <f t="shared" ca="1" si="56"/>
        <v>0.3300903829425601</v>
      </c>
      <c r="F286" s="42">
        <v>0.5</v>
      </c>
      <c r="G286" s="43">
        <f t="shared" ca="1" si="57"/>
        <v>8.2235824853638793</v>
      </c>
      <c r="H286" s="42">
        <f t="shared" ca="1" si="58"/>
        <v>0.63779197877882199</v>
      </c>
      <c r="I286" s="42">
        <v>0.5</v>
      </c>
      <c r="J286" s="43">
        <f t="shared" ca="1" si="59"/>
        <v>4.3277998276965484</v>
      </c>
      <c r="K286" s="43">
        <f t="shared" ca="1" si="60"/>
        <v>-95.735105418162732</v>
      </c>
      <c r="L286" s="42">
        <f t="shared" si="52"/>
        <v>9.1015464571993686E-14</v>
      </c>
      <c r="M286" s="42">
        <f ca="1">K286-D286</f>
        <v>0.26130941038779554</v>
      </c>
      <c r="N286" s="42">
        <f t="shared" ca="1" si="61"/>
        <v>2871044076043.7856</v>
      </c>
      <c r="O286" s="42">
        <f t="shared" ca="1" si="62"/>
        <v>0</v>
      </c>
      <c r="P286" s="42">
        <f t="shared" ca="1" si="63"/>
        <v>0.62085049503513623</v>
      </c>
      <c r="Q286" s="44">
        <f ca="1">IF(M286&lt;0,G286,IF(P286&lt;O286,G286,B286))</f>
        <v>8.0585372938925985</v>
      </c>
      <c r="R286" s="44">
        <f ca="1">IF(N286&lt;0,J286,IF(P286&lt;O286,J286,C286))</f>
        <v>4.0089038383071376</v>
      </c>
      <c r="S286" s="44">
        <f t="shared" ca="1" si="64"/>
        <v>-95.996414828550527</v>
      </c>
    </row>
    <row r="287" spans="1:19" x14ac:dyDescent="0.4">
      <c r="A287" s="42">
        <v>286</v>
      </c>
      <c r="B287" s="41">
        <f t="shared" ca="1" si="53"/>
        <v>8.0585372938925985</v>
      </c>
      <c r="C287" s="41">
        <f t="shared" ca="1" si="54"/>
        <v>4.0089038383071376</v>
      </c>
      <c r="D287" s="41">
        <f t="shared" ca="1" si="55"/>
        <v>-95.996414828550527</v>
      </c>
      <c r="E287" s="42">
        <f t="shared" ca="1" si="56"/>
        <v>-0.16915721693100627</v>
      </c>
      <c r="F287" s="42">
        <v>0.5</v>
      </c>
      <c r="G287" s="43">
        <f t="shared" ca="1" si="57"/>
        <v>7.9739586854270952</v>
      </c>
      <c r="H287" s="42">
        <f t="shared" ca="1" si="58"/>
        <v>0.77713054624498623</v>
      </c>
      <c r="I287" s="42">
        <v>0.5</v>
      </c>
      <c r="J287" s="43">
        <f t="shared" ca="1" si="59"/>
        <v>4.3974691114296309</v>
      </c>
      <c r="K287" s="43">
        <f t="shared" ca="1" si="60"/>
        <v>-95.683358460853995</v>
      </c>
      <c r="L287" s="42">
        <f t="shared" si="52"/>
        <v>8.191391811479431E-14</v>
      </c>
      <c r="M287" s="42">
        <f ca="1">K287-D287</f>
        <v>0.31305636769653233</v>
      </c>
      <c r="N287" s="42">
        <f t="shared" ca="1" si="61"/>
        <v>3821772598617.668</v>
      </c>
      <c r="O287" s="42">
        <f t="shared" ca="1" si="62"/>
        <v>0</v>
      </c>
      <c r="P287" s="42">
        <f t="shared" ca="1" si="63"/>
        <v>0.95691216377402533</v>
      </c>
      <c r="Q287" s="44">
        <f ca="1">IF(M287&lt;0,G287,IF(P287&lt;O287,G287,B287))</f>
        <v>8.0585372938925985</v>
      </c>
      <c r="R287" s="44">
        <f ca="1">IF(N287&lt;0,J287,IF(P287&lt;O287,J287,C287))</f>
        <v>4.0089038383071376</v>
      </c>
      <c r="S287" s="44">
        <f t="shared" ca="1" si="64"/>
        <v>-95.996414828550527</v>
      </c>
    </row>
    <row r="288" spans="1:19" x14ac:dyDescent="0.4">
      <c r="A288" s="42">
        <v>287</v>
      </c>
      <c r="B288" s="41">
        <f t="shared" ca="1" si="53"/>
        <v>8.0585372938925985</v>
      </c>
      <c r="C288" s="41">
        <f t="shared" ca="1" si="54"/>
        <v>4.0089038383071376</v>
      </c>
      <c r="D288" s="41">
        <f t="shared" ca="1" si="55"/>
        <v>-95.996414828550527</v>
      </c>
      <c r="E288" s="42">
        <f t="shared" ca="1" si="56"/>
        <v>-0.51776434251046033</v>
      </c>
      <c r="F288" s="42">
        <v>0.5</v>
      </c>
      <c r="G288" s="43">
        <f t="shared" ca="1" si="57"/>
        <v>7.7996551226373683</v>
      </c>
      <c r="H288" s="42">
        <f t="shared" ca="1" si="58"/>
        <v>-0.31657791008772906</v>
      </c>
      <c r="I288" s="42">
        <v>0.5</v>
      </c>
      <c r="J288" s="43">
        <f t="shared" ca="1" si="59"/>
        <v>3.8506148832632729</v>
      </c>
      <c r="K288" s="43">
        <f t="shared" ca="1" si="60"/>
        <v>-95.915230103909664</v>
      </c>
      <c r="L288" s="42">
        <f t="shared" si="52"/>
        <v>7.3722526303314872E-14</v>
      </c>
      <c r="M288" s="42">
        <f ca="1">K288-D288</f>
        <v>8.1184724640863237E-2</v>
      </c>
      <c r="N288" s="42">
        <f t="shared" ca="1" si="61"/>
        <v>1101220057311.2053</v>
      </c>
      <c r="O288" s="42">
        <f t="shared" ca="1" si="62"/>
        <v>0</v>
      </c>
      <c r="P288" s="42">
        <f t="shared" ca="1" si="63"/>
        <v>6.8934770569419435E-2</v>
      </c>
      <c r="Q288" s="44">
        <f ca="1">IF(M288&lt;0,G288,IF(P288&lt;O288,G288,B288))</f>
        <v>8.0585372938925985</v>
      </c>
      <c r="R288" s="44">
        <f ca="1">IF(N288&lt;0,J288,IF(P288&lt;O288,J288,C288))</f>
        <v>4.0089038383071376</v>
      </c>
      <c r="S288" s="44">
        <f t="shared" ca="1" si="64"/>
        <v>-95.996414828550527</v>
      </c>
    </row>
    <row r="289" spans="1:19" x14ac:dyDescent="0.4">
      <c r="A289" s="42">
        <v>288</v>
      </c>
      <c r="B289" s="41">
        <f t="shared" ca="1" si="53"/>
        <v>8.0585372938925985</v>
      </c>
      <c r="C289" s="41">
        <f t="shared" ca="1" si="54"/>
        <v>4.0089038383071376</v>
      </c>
      <c r="D289" s="41">
        <f t="shared" ca="1" si="55"/>
        <v>-95.996414828550527</v>
      </c>
      <c r="E289" s="42">
        <f t="shared" ca="1" si="56"/>
        <v>-0.27151156769774176</v>
      </c>
      <c r="F289" s="42">
        <v>0.5</v>
      </c>
      <c r="G289" s="43">
        <f t="shared" ca="1" si="57"/>
        <v>7.9227815100437278</v>
      </c>
      <c r="H289" s="42">
        <f t="shared" ca="1" si="58"/>
        <v>-0.37175542993965593</v>
      </c>
      <c r="I289" s="42">
        <v>0.5</v>
      </c>
      <c r="J289" s="43">
        <f t="shared" ca="1" si="59"/>
        <v>3.8230261233373097</v>
      </c>
      <c r="K289" s="43">
        <f t="shared" ca="1" si="60"/>
        <v>-95.931397798766824</v>
      </c>
      <c r="L289" s="42">
        <f t="shared" si="52"/>
        <v>6.6350273672983395E-14</v>
      </c>
      <c r="M289" s="42">
        <f ca="1">K289-D289</f>
        <v>6.5017029783703606E-2</v>
      </c>
      <c r="N289" s="42">
        <f t="shared" ca="1" si="61"/>
        <v>979905977541.99377</v>
      </c>
      <c r="O289" s="42">
        <f t="shared" ca="1" si="62"/>
        <v>0</v>
      </c>
      <c r="P289" s="42">
        <f t="shared" ca="1" si="63"/>
        <v>0.58992887949490547</v>
      </c>
      <c r="Q289" s="44">
        <f ca="1">IF(M289&lt;0,G289,IF(P289&lt;O289,G289,B289))</f>
        <v>8.0585372938925985</v>
      </c>
      <c r="R289" s="44">
        <f ca="1">IF(N289&lt;0,J289,IF(P289&lt;O289,J289,C289))</f>
        <v>4.0089038383071376</v>
      </c>
      <c r="S289" s="44">
        <f t="shared" ca="1" si="64"/>
        <v>-95.996414828550527</v>
      </c>
    </row>
    <row r="290" spans="1:19" x14ac:dyDescent="0.4">
      <c r="A290" s="42">
        <v>289</v>
      </c>
      <c r="B290" s="41">
        <f t="shared" ca="1" si="53"/>
        <v>8.0585372938925985</v>
      </c>
      <c r="C290" s="41">
        <f t="shared" ca="1" si="54"/>
        <v>4.0089038383071376</v>
      </c>
      <c r="D290" s="41">
        <f t="shared" ca="1" si="55"/>
        <v>-95.996414828550527</v>
      </c>
      <c r="E290" s="42">
        <f t="shared" ca="1" si="56"/>
        <v>0.25175096060749014</v>
      </c>
      <c r="F290" s="42">
        <v>0.5</v>
      </c>
      <c r="G290" s="43">
        <f t="shared" ca="1" si="57"/>
        <v>8.1844127741963444</v>
      </c>
      <c r="H290" s="42">
        <f t="shared" ca="1" si="58"/>
        <v>0.84072768546121424</v>
      </c>
      <c r="I290" s="42">
        <v>0.5</v>
      </c>
      <c r="J290" s="43">
        <f t="shared" ca="1" si="59"/>
        <v>4.4292676810377447</v>
      </c>
      <c r="K290" s="43">
        <f t="shared" ca="1" si="60"/>
        <v>-95.597450444746158</v>
      </c>
      <c r="L290" s="42">
        <f t="shared" si="52"/>
        <v>5.9715246305685059E-14</v>
      </c>
      <c r="M290" s="42">
        <f ca="1">K290-D290</f>
        <v>0.39896438380436905</v>
      </c>
      <c r="N290" s="42">
        <f t="shared" ca="1" si="61"/>
        <v>6681114262881.0781</v>
      </c>
      <c r="O290" s="42">
        <f t="shared" ca="1" si="62"/>
        <v>0</v>
      </c>
      <c r="P290" s="42">
        <f t="shared" ca="1" si="63"/>
        <v>3.129844943301574E-2</v>
      </c>
      <c r="Q290" s="44">
        <f ca="1">IF(M290&lt;0,G290,IF(P290&lt;O290,G290,B290))</f>
        <v>8.0585372938925985</v>
      </c>
      <c r="R290" s="44">
        <f ca="1">IF(N290&lt;0,J290,IF(P290&lt;O290,J290,C290))</f>
        <v>4.0089038383071376</v>
      </c>
      <c r="S290" s="44">
        <f t="shared" ca="1" si="64"/>
        <v>-95.996414828550527</v>
      </c>
    </row>
    <row r="291" spans="1:19" x14ac:dyDescent="0.4">
      <c r="A291" s="42">
        <v>290</v>
      </c>
      <c r="B291" s="41">
        <f t="shared" ca="1" si="53"/>
        <v>8.0585372938925985</v>
      </c>
      <c r="C291" s="41">
        <f t="shared" ca="1" si="54"/>
        <v>4.0089038383071376</v>
      </c>
      <c r="D291" s="41">
        <f t="shared" ca="1" si="55"/>
        <v>-95.996414828550527</v>
      </c>
      <c r="E291" s="42">
        <f t="shared" ca="1" si="56"/>
        <v>-0.98448119254931887</v>
      </c>
      <c r="F291" s="42">
        <v>0.5</v>
      </c>
      <c r="G291" s="43">
        <f t="shared" ca="1" si="57"/>
        <v>7.5662966976179389</v>
      </c>
      <c r="H291" s="42">
        <f t="shared" ca="1" si="58"/>
        <v>-0.86836958523746444</v>
      </c>
      <c r="I291" s="42">
        <v>0.5</v>
      </c>
      <c r="J291" s="43">
        <f t="shared" ca="1" si="59"/>
        <v>3.5747190456884055</v>
      </c>
      <c r="K291" s="43">
        <f t="shared" ca="1" si="60"/>
        <v>-95.450173665302543</v>
      </c>
      <c r="L291" s="42">
        <f t="shared" si="52"/>
        <v>5.3743721675116559E-14</v>
      </c>
      <c r="M291" s="42">
        <f ca="1">K291-D291</f>
        <v>0.54624116324798422</v>
      </c>
      <c r="N291" s="42">
        <f t="shared" ca="1" si="61"/>
        <v>10163813487834.707</v>
      </c>
      <c r="O291" s="42">
        <f t="shared" ca="1" si="62"/>
        <v>0</v>
      </c>
      <c r="P291" s="42">
        <f t="shared" ca="1" si="63"/>
        <v>0.46362221874030829</v>
      </c>
      <c r="Q291" s="44">
        <f ca="1">IF(M291&lt;0,G291,IF(P291&lt;O291,G291,B291))</f>
        <v>8.0585372938925985</v>
      </c>
      <c r="R291" s="44">
        <f ca="1">IF(N291&lt;0,J291,IF(P291&lt;O291,J291,C291))</f>
        <v>4.0089038383071376</v>
      </c>
      <c r="S291" s="44">
        <f t="shared" ca="1" si="64"/>
        <v>-95.996414828550527</v>
      </c>
    </row>
    <row r="292" spans="1:19" x14ac:dyDescent="0.4">
      <c r="A292" s="42">
        <v>291</v>
      </c>
      <c r="B292" s="41">
        <f t="shared" ca="1" si="53"/>
        <v>8.0585372938925985</v>
      </c>
      <c r="C292" s="41">
        <f t="shared" ca="1" si="54"/>
        <v>4.0089038383071376</v>
      </c>
      <c r="D292" s="41">
        <f t="shared" ca="1" si="55"/>
        <v>-95.996414828550527</v>
      </c>
      <c r="E292" s="42">
        <f t="shared" ca="1" si="56"/>
        <v>-0.45730955064360024</v>
      </c>
      <c r="F292" s="42">
        <v>0.5</v>
      </c>
      <c r="G292" s="43">
        <f t="shared" ca="1" si="57"/>
        <v>7.8298825185707983</v>
      </c>
      <c r="H292" s="42">
        <f t="shared" ca="1" si="58"/>
        <v>-0.3438282235839536</v>
      </c>
      <c r="I292" s="42">
        <v>0.5</v>
      </c>
      <c r="J292" s="43">
        <f t="shared" ca="1" si="59"/>
        <v>3.8369897265151609</v>
      </c>
      <c r="K292" s="43">
        <f t="shared" ca="1" si="60"/>
        <v>-95.91791534398898</v>
      </c>
      <c r="L292" s="42">
        <f t="shared" si="52"/>
        <v>4.8369349507604903E-14</v>
      </c>
      <c r="M292" s="42">
        <f ca="1">K292-D292</f>
        <v>7.8499484561547206E-2</v>
      </c>
      <c r="N292" s="42">
        <f t="shared" ca="1" si="61"/>
        <v>1622917929653.0559</v>
      </c>
      <c r="O292" s="42">
        <f t="shared" ca="1" si="62"/>
        <v>0</v>
      </c>
      <c r="P292" s="42">
        <f t="shared" ca="1" si="63"/>
        <v>0.54129489822066479</v>
      </c>
      <c r="Q292" s="44">
        <f ca="1">IF(M292&lt;0,G292,IF(P292&lt;O292,G292,B292))</f>
        <v>8.0585372938925985</v>
      </c>
      <c r="R292" s="44">
        <f ca="1">IF(N292&lt;0,J292,IF(P292&lt;O292,J292,C292))</f>
        <v>4.0089038383071376</v>
      </c>
      <c r="S292" s="44">
        <f t="shared" ca="1" si="64"/>
        <v>-95.996414828550527</v>
      </c>
    </row>
    <row r="293" spans="1:19" x14ac:dyDescent="0.4">
      <c r="A293" s="42">
        <v>292</v>
      </c>
      <c r="B293" s="41">
        <f t="shared" ca="1" si="53"/>
        <v>8.0585372938925985</v>
      </c>
      <c r="C293" s="41">
        <f t="shared" ca="1" si="54"/>
        <v>4.0089038383071376</v>
      </c>
      <c r="D293" s="41">
        <f t="shared" ca="1" si="55"/>
        <v>-95.996414828550527</v>
      </c>
      <c r="E293" s="42">
        <f t="shared" ca="1" si="56"/>
        <v>-0.98717103003485507</v>
      </c>
      <c r="F293" s="42">
        <v>0.5</v>
      </c>
      <c r="G293" s="43">
        <f t="shared" ca="1" si="57"/>
        <v>7.5649517788751712</v>
      </c>
      <c r="H293" s="42">
        <f t="shared" ca="1" si="58"/>
        <v>0.18844126616606105</v>
      </c>
      <c r="I293" s="42">
        <v>0.5</v>
      </c>
      <c r="J293" s="43">
        <f t="shared" ca="1" si="59"/>
        <v>4.103124471390168</v>
      </c>
      <c r="K293" s="43">
        <f t="shared" ca="1" si="60"/>
        <v>-95.789463732097119</v>
      </c>
      <c r="L293" s="42">
        <f t="shared" si="52"/>
        <v>4.3532414556844417E-14</v>
      </c>
      <c r="M293" s="42">
        <f ca="1">K293-D293</f>
        <v>0.20695109645340892</v>
      </c>
      <c r="N293" s="42">
        <f t="shared" ca="1" si="61"/>
        <v>4753954003244.4834</v>
      </c>
      <c r="O293" s="42">
        <f t="shared" ca="1" si="62"/>
        <v>0</v>
      </c>
      <c r="P293" s="42">
        <f t="shared" ca="1" si="63"/>
        <v>0.47445750021047028</v>
      </c>
      <c r="Q293" s="44">
        <f ca="1">IF(M293&lt;0,G293,IF(P293&lt;O293,G293,B293))</f>
        <v>8.0585372938925985</v>
      </c>
      <c r="R293" s="44">
        <f ca="1">IF(N293&lt;0,J293,IF(P293&lt;O293,J293,C293))</f>
        <v>4.0089038383071376</v>
      </c>
      <c r="S293" s="44">
        <f t="shared" ca="1" si="64"/>
        <v>-95.996414828550527</v>
      </c>
    </row>
    <row r="294" spans="1:19" x14ac:dyDescent="0.4">
      <c r="A294" s="42">
        <v>293</v>
      </c>
      <c r="B294" s="41">
        <f t="shared" ca="1" si="53"/>
        <v>8.0585372938925985</v>
      </c>
      <c r="C294" s="41">
        <f t="shared" ca="1" si="54"/>
        <v>4.0089038383071376</v>
      </c>
      <c r="D294" s="41">
        <f t="shared" ca="1" si="55"/>
        <v>-95.996414828550527</v>
      </c>
      <c r="E294" s="42">
        <f t="shared" ca="1" si="56"/>
        <v>-0.35622335855801723</v>
      </c>
      <c r="F294" s="42">
        <v>0.5</v>
      </c>
      <c r="G294" s="43">
        <f t="shared" ca="1" si="57"/>
        <v>7.88042561461359</v>
      </c>
      <c r="H294" s="42">
        <f t="shared" ca="1" si="58"/>
        <v>-0.11249834363159628</v>
      </c>
      <c r="I294" s="42">
        <v>0.5</v>
      </c>
      <c r="J294" s="43">
        <f t="shared" ca="1" si="59"/>
        <v>3.9526546664913393</v>
      </c>
      <c r="K294" s="43">
        <f t="shared" ca="1" si="60"/>
        <v>-95.981218805149368</v>
      </c>
      <c r="L294" s="42">
        <f t="shared" si="52"/>
        <v>3.9179173101159983E-14</v>
      </c>
      <c r="M294" s="42">
        <f ca="1">K294-D294</f>
        <v>1.5196023401159664E-2</v>
      </c>
      <c r="N294" s="42">
        <f t="shared" ca="1" si="61"/>
        <v>387859727460.90839</v>
      </c>
      <c r="O294" s="42">
        <f t="shared" ca="1" si="62"/>
        <v>0</v>
      </c>
      <c r="P294" s="42">
        <f t="shared" ca="1" si="63"/>
        <v>0.91554525137241394</v>
      </c>
      <c r="Q294" s="44">
        <f ca="1">IF(M294&lt;0,G294,IF(P294&lt;O294,G294,B294))</f>
        <v>8.0585372938925985</v>
      </c>
      <c r="R294" s="44">
        <f ca="1">IF(N294&lt;0,J294,IF(P294&lt;O294,J294,C294))</f>
        <v>4.0089038383071376</v>
      </c>
      <c r="S294" s="44">
        <f t="shared" ca="1" si="64"/>
        <v>-95.996414828550527</v>
      </c>
    </row>
    <row r="295" spans="1:19" x14ac:dyDescent="0.4">
      <c r="A295" s="42">
        <v>294</v>
      </c>
      <c r="B295" s="41">
        <f t="shared" ca="1" si="53"/>
        <v>8.0585372938925985</v>
      </c>
      <c r="C295" s="41">
        <f t="shared" ca="1" si="54"/>
        <v>4.0089038383071376</v>
      </c>
      <c r="D295" s="41">
        <f t="shared" ca="1" si="55"/>
        <v>-95.996414828550527</v>
      </c>
      <c r="E295" s="42">
        <f t="shared" ca="1" si="56"/>
        <v>0.50475213448236378</v>
      </c>
      <c r="F295" s="42">
        <v>0.5</v>
      </c>
      <c r="G295" s="43">
        <f t="shared" ca="1" si="57"/>
        <v>8.31091336113378</v>
      </c>
      <c r="H295" s="42">
        <f t="shared" ca="1" si="58"/>
        <v>0.75059710805984992</v>
      </c>
      <c r="I295" s="42">
        <v>0.5</v>
      </c>
      <c r="J295" s="43">
        <f t="shared" ca="1" si="59"/>
        <v>4.3842023923370625</v>
      </c>
      <c r="K295" s="43">
        <f t="shared" ca="1" si="60"/>
        <v>-95.608109925313443</v>
      </c>
      <c r="L295" s="42">
        <f t="shared" si="52"/>
        <v>3.5261255791043981E-14</v>
      </c>
      <c r="M295" s="42">
        <f ca="1">K295-D295</f>
        <v>0.38830490323708489</v>
      </c>
      <c r="N295" s="42">
        <f t="shared" ca="1" si="61"/>
        <v>11012225586580.232</v>
      </c>
      <c r="O295" s="42">
        <f t="shared" ca="1" si="62"/>
        <v>0</v>
      </c>
      <c r="P295" s="42">
        <f t="shared" ca="1" si="63"/>
        <v>6.0331885859413736E-2</v>
      </c>
      <c r="Q295" s="44">
        <f ca="1">IF(M295&lt;0,G295,IF(P295&lt;O295,G295,B295))</f>
        <v>8.0585372938925985</v>
      </c>
      <c r="R295" s="44">
        <f ca="1">IF(N295&lt;0,J295,IF(P295&lt;O295,J295,C295))</f>
        <v>4.0089038383071376</v>
      </c>
      <c r="S295" s="44">
        <f t="shared" ca="1" si="64"/>
        <v>-95.996414828550527</v>
      </c>
    </row>
    <row r="296" spans="1:19" x14ac:dyDescent="0.4">
      <c r="A296" s="42">
        <v>295</v>
      </c>
      <c r="B296" s="41">
        <f t="shared" ca="1" si="53"/>
        <v>8.0585372938925985</v>
      </c>
      <c r="C296" s="41">
        <f t="shared" ca="1" si="54"/>
        <v>4.0089038383071376</v>
      </c>
      <c r="D296" s="41">
        <f t="shared" ca="1" si="55"/>
        <v>-95.996414828550527</v>
      </c>
      <c r="E296" s="42">
        <f t="shared" ca="1" si="56"/>
        <v>-0.50264008377329605</v>
      </c>
      <c r="F296" s="42">
        <v>0.5</v>
      </c>
      <c r="G296" s="43">
        <f t="shared" ca="1" si="57"/>
        <v>7.8072172520059508</v>
      </c>
      <c r="H296" s="42">
        <f t="shared" ca="1" si="58"/>
        <v>0.9096353885958397</v>
      </c>
      <c r="I296" s="42">
        <v>0.5</v>
      </c>
      <c r="J296" s="43">
        <f t="shared" ca="1" si="59"/>
        <v>4.4637215326050574</v>
      </c>
      <c r="K296" s="43">
        <f t="shared" ca="1" si="60"/>
        <v>-95.532759492472692</v>
      </c>
      <c r="L296" s="42">
        <f t="shared" si="52"/>
        <v>3.1735130211939585E-14</v>
      </c>
      <c r="M296" s="42">
        <f ca="1">K296-D296</f>
        <v>0.46365533607783505</v>
      </c>
      <c r="N296" s="42">
        <f t="shared" ca="1" si="61"/>
        <v>14610160190973.34</v>
      </c>
      <c r="O296" s="42">
        <f t="shared" ca="1" si="62"/>
        <v>0</v>
      </c>
      <c r="P296" s="42">
        <f t="shared" ca="1" si="63"/>
        <v>0.89223500465272509</v>
      </c>
      <c r="Q296" s="44">
        <f ca="1">IF(M296&lt;0,G296,IF(P296&lt;O296,G296,B296))</f>
        <v>8.0585372938925985</v>
      </c>
      <c r="R296" s="44">
        <f ca="1">IF(N296&lt;0,J296,IF(P296&lt;O296,J296,C296))</f>
        <v>4.0089038383071376</v>
      </c>
      <c r="S296" s="44">
        <f t="shared" ca="1" si="64"/>
        <v>-95.996414828550527</v>
      </c>
    </row>
    <row r="297" spans="1:19" x14ac:dyDescent="0.4">
      <c r="A297" s="42">
        <v>296</v>
      </c>
      <c r="B297" s="41">
        <f t="shared" ca="1" si="53"/>
        <v>8.0585372938925985</v>
      </c>
      <c r="C297" s="41">
        <f t="shared" ca="1" si="54"/>
        <v>4.0089038383071376</v>
      </c>
      <c r="D297" s="41">
        <f t="shared" ca="1" si="55"/>
        <v>-95.996414828550527</v>
      </c>
      <c r="E297" s="42">
        <f t="shared" ca="1" si="56"/>
        <v>-0.31251539462717437</v>
      </c>
      <c r="F297" s="42">
        <v>0.5</v>
      </c>
      <c r="G297" s="43">
        <f t="shared" ca="1" si="57"/>
        <v>7.9022795965790111</v>
      </c>
      <c r="H297" s="42">
        <f t="shared" ca="1" si="58"/>
        <v>-0.11084727771644687</v>
      </c>
      <c r="I297" s="42">
        <v>0.5</v>
      </c>
      <c r="J297" s="43">
        <f t="shared" ca="1" si="59"/>
        <v>3.9534801994489142</v>
      </c>
      <c r="K297" s="43">
        <f t="shared" ca="1" si="60"/>
        <v>-95.986122539068617</v>
      </c>
      <c r="L297" s="42">
        <f t="shared" si="52"/>
        <v>2.8561617190745626E-14</v>
      </c>
      <c r="M297" s="42">
        <f ca="1">K297-D297</f>
        <v>1.0292289481910188E-2</v>
      </c>
      <c r="N297" s="42">
        <f t="shared" ca="1" si="61"/>
        <v>360353876784.15625</v>
      </c>
      <c r="O297" s="42">
        <f t="shared" ca="1" si="62"/>
        <v>0</v>
      </c>
      <c r="P297" s="42">
        <f t="shared" ca="1" si="63"/>
        <v>0.18624736064592484</v>
      </c>
      <c r="Q297" s="44">
        <f ca="1">IF(M297&lt;0,G297,IF(P297&lt;O297,G297,B297))</f>
        <v>8.0585372938925985</v>
      </c>
      <c r="R297" s="44">
        <f ca="1">IF(N297&lt;0,J297,IF(P297&lt;O297,J297,C297))</f>
        <v>4.0089038383071376</v>
      </c>
      <c r="S297" s="44">
        <f t="shared" ca="1" si="64"/>
        <v>-95.996414828550527</v>
      </c>
    </row>
    <row r="298" spans="1:19" x14ac:dyDescent="0.4">
      <c r="A298" s="42">
        <v>297</v>
      </c>
      <c r="B298" s="41">
        <f t="shared" ca="1" si="53"/>
        <v>8.0585372938925985</v>
      </c>
      <c r="C298" s="41">
        <f t="shared" ca="1" si="54"/>
        <v>4.0089038383071376</v>
      </c>
      <c r="D298" s="41">
        <f t="shared" ca="1" si="55"/>
        <v>-95.996414828550527</v>
      </c>
      <c r="E298" s="42">
        <f t="shared" ca="1" si="56"/>
        <v>-0.77637656080880268</v>
      </c>
      <c r="F298" s="42">
        <v>0.5</v>
      </c>
      <c r="G298" s="43">
        <f t="shared" ca="1" si="57"/>
        <v>7.6703490134881971</v>
      </c>
      <c r="H298" s="42">
        <f t="shared" ca="1" si="58"/>
        <v>-4.6338028278143817E-2</v>
      </c>
      <c r="I298" s="42">
        <v>0.5</v>
      </c>
      <c r="J298" s="43">
        <f t="shared" ca="1" si="59"/>
        <v>3.9857348241680657</v>
      </c>
      <c r="K298" s="43">
        <f t="shared" ca="1" si="60"/>
        <v>-95.890923236608756</v>
      </c>
      <c r="L298" s="42">
        <f t="shared" si="52"/>
        <v>2.5705455471671064E-14</v>
      </c>
      <c r="M298" s="42">
        <f ca="1">K298-D298</f>
        <v>0.10549159194177093</v>
      </c>
      <c r="N298" s="42">
        <f t="shared" ca="1" si="61"/>
        <v>4103860056400.437</v>
      </c>
      <c r="O298" s="42">
        <f t="shared" ca="1" si="62"/>
        <v>0</v>
      </c>
      <c r="P298" s="42">
        <f t="shared" ca="1" si="63"/>
        <v>0.94522777589041496</v>
      </c>
      <c r="Q298" s="44">
        <f ca="1">IF(M298&lt;0,G298,IF(P298&lt;O298,G298,B298))</f>
        <v>8.0585372938925985</v>
      </c>
      <c r="R298" s="44">
        <f ca="1">IF(N298&lt;0,J298,IF(P298&lt;O298,J298,C298))</f>
        <v>4.0089038383071376</v>
      </c>
      <c r="S298" s="44">
        <f t="shared" ca="1" si="64"/>
        <v>-95.996414828550527</v>
      </c>
    </row>
    <row r="299" spans="1:19" x14ac:dyDescent="0.4">
      <c r="A299" s="42">
        <v>298</v>
      </c>
      <c r="B299" s="41">
        <f t="shared" ca="1" si="53"/>
        <v>8.0585372938925985</v>
      </c>
      <c r="C299" s="41">
        <f t="shared" ca="1" si="54"/>
        <v>4.0089038383071376</v>
      </c>
      <c r="D299" s="41">
        <f t="shared" ca="1" si="55"/>
        <v>-95.996414828550527</v>
      </c>
      <c r="E299" s="42">
        <f t="shared" ca="1" si="56"/>
        <v>-0.78897139679916184</v>
      </c>
      <c r="F299" s="42">
        <v>0.5</v>
      </c>
      <c r="G299" s="43">
        <f t="shared" ca="1" si="57"/>
        <v>7.6640515954930173</v>
      </c>
      <c r="H299" s="42">
        <f t="shared" ca="1" si="58"/>
        <v>0.9267375807089917</v>
      </c>
      <c r="I299" s="42">
        <v>0.5</v>
      </c>
      <c r="J299" s="43">
        <f t="shared" ca="1" si="59"/>
        <v>4.4722726286616332</v>
      </c>
      <c r="K299" s="43">
        <f t="shared" ca="1" si="60"/>
        <v>-95.441055797943278</v>
      </c>
      <c r="L299" s="42">
        <f t="shared" si="52"/>
        <v>2.3134909924503958E-14</v>
      </c>
      <c r="M299" s="42">
        <f ca="1">K299-D299</f>
        <v>0.55535903060724934</v>
      </c>
      <c r="N299" s="42">
        <f t="shared" ca="1" si="61"/>
        <v>24005238508364.625</v>
      </c>
      <c r="O299" s="42">
        <f t="shared" ca="1" si="62"/>
        <v>0</v>
      </c>
      <c r="P299" s="42">
        <f t="shared" ca="1" si="63"/>
        <v>0.37489609163833448</v>
      </c>
      <c r="Q299" s="44">
        <f ca="1">IF(M299&lt;0,G299,IF(P299&lt;O299,G299,B299))</f>
        <v>8.0585372938925985</v>
      </c>
      <c r="R299" s="44">
        <f ca="1">IF(N299&lt;0,J299,IF(P299&lt;O299,J299,C299))</f>
        <v>4.0089038383071376</v>
      </c>
      <c r="S299" s="44">
        <f t="shared" ca="1" si="64"/>
        <v>-95.996414828550527</v>
      </c>
    </row>
    <row r="300" spans="1:19" x14ac:dyDescent="0.4">
      <c r="A300" s="42">
        <v>299</v>
      </c>
      <c r="B300" s="41">
        <f t="shared" ca="1" si="53"/>
        <v>8.0585372938925985</v>
      </c>
      <c r="C300" s="41">
        <f t="shared" ca="1" si="54"/>
        <v>4.0089038383071376</v>
      </c>
      <c r="D300" s="41">
        <f t="shared" ca="1" si="55"/>
        <v>-95.996414828550527</v>
      </c>
      <c r="E300" s="42">
        <f t="shared" ca="1" si="56"/>
        <v>0.1806204730205343</v>
      </c>
      <c r="F300" s="42">
        <v>0.5</v>
      </c>
      <c r="G300" s="43">
        <f t="shared" ca="1" si="57"/>
        <v>8.1488475304028665</v>
      </c>
      <c r="H300" s="42">
        <f t="shared" ca="1" si="58"/>
        <v>-0.17993718910875089</v>
      </c>
      <c r="I300" s="42">
        <v>0.5</v>
      </c>
      <c r="J300" s="43">
        <f t="shared" ca="1" si="59"/>
        <v>3.9189352437527623</v>
      </c>
      <c r="K300" s="43">
        <f t="shared" ca="1" si="60"/>
        <v>-95.964701423282122</v>
      </c>
      <c r="L300" s="42">
        <f t="shared" si="52"/>
        <v>2.0821418932053564E-14</v>
      </c>
      <c r="M300" s="42">
        <f ca="1">K300-D300</f>
        <v>3.1713405268405381E-2</v>
      </c>
      <c r="N300" s="42">
        <f t="shared" ca="1" si="61"/>
        <v>1523114508761.1743</v>
      </c>
      <c r="O300" s="42">
        <f t="shared" ca="1" si="62"/>
        <v>0</v>
      </c>
      <c r="P300" s="42">
        <f t="shared" ca="1" si="63"/>
        <v>4.5826931784967218E-2</v>
      </c>
      <c r="Q300" s="44">
        <f ca="1">IF(M300&lt;0,G300,IF(P300&lt;O300,G300,B300))</f>
        <v>8.0585372938925985</v>
      </c>
      <c r="R300" s="44">
        <f ca="1">IF(N300&lt;0,J300,IF(P300&lt;O300,J300,C300))</f>
        <v>4.0089038383071376</v>
      </c>
      <c r="S300" s="44">
        <f t="shared" ca="1" si="64"/>
        <v>-95.996414828550527</v>
      </c>
    </row>
    <row r="301" spans="1:19" x14ac:dyDescent="0.4">
      <c r="A301" s="42">
        <v>300</v>
      </c>
      <c r="B301" s="41">
        <f t="shared" ca="1" si="53"/>
        <v>8.0585372938925985</v>
      </c>
      <c r="C301" s="41">
        <f t="shared" ca="1" si="54"/>
        <v>4.0089038383071376</v>
      </c>
      <c r="D301" s="41">
        <f t="shared" ca="1" si="55"/>
        <v>-95.996414828550527</v>
      </c>
      <c r="E301" s="42">
        <f t="shared" ca="1" si="56"/>
        <v>-5.7906098786429494E-2</v>
      </c>
      <c r="F301" s="42">
        <v>0.5</v>
      </c>
      <c r="G301" s="43">
        <f t="shared" ca="1" si="57"/>
        <v>8.0295842444993841</v>
      </c>
      <c r="H301" s="42">
        <f t="shared" ca="1" si="58"/>
        <v>-0.6030408308170141</v>
      </c>
      <c r="I301" s="42">
        <v>0.5</v>
      </c>
      <c r="J301" s="43">
        <f t="shared" ca="1" si="59"/>
        <v>3.7073834228986304</v>
      </c>
      <c r="K301" s="43">
        <f t="shared" ca="1" si="60"/>
        <v>-95.827875850088361</v>
      </c>
      <c r="L301" s="42">
        <f t="shared" si="52"/>
        <v>1.8739277038848211E-14</v>
      </c>
      <c r="M301" s="42">
        <f ca="1">K301-D301</f>
        <v>0.16853897846216626</v>
      </c>
      <c r="N301" s="42">
        <f t="shared" ca="1" si="61"/>
        <v>8993889044533.0293</v>
      </c>
      <c r="O301" s="42">
        <f t="shared" ca="1" si="62"/>
        <v>0</v>
      </c>
      <c r="P301" s="42">
        <f t="shared" ca="1" si="63"/>
        <v>0.65621683632797101</v>
      </c>
      <c r="Q301" s="44">
        <f ca="1">IF(M301&lt;0,G301,IF(P301&lt;O301,G301,B301))</f>
        <v>8.0585372938925985</v>
      </c>
      <c r="R301" s="44">
        <f ca="1">IF(N301&lt;0,J301,IF(P301&lt;O301,J301,C301))</f>
        <v>4.0089038383071376</v>
      </c>
      <c r="S301" s="44">
        <f t="shared" ca="1" si="64"/>
        <v>-95.996414828550527</v>
      </c>
    </row>
    <row r="302" spans="1:19" x14ac:dyDescent="0.4">
      <c r="A302" s="42">
        <v>301</v>
      </c>
      <c r="B302" s="41">
        <f t="shared" ca="1" si="53"/>
        <v>8.0585372938925985</v>
      </c>
      <c r="C302" s="41">
        <f t="shared" ca="1" si="54"/>
        <v>4.0089038383071376</v>
      </c>
      <c r="D302" s="41">
        <f t="shared" ca="1" si="55"/>
        <v>-95.996414828550527</v>
      </c>
      <c r="E302" s="42">
        <f t="shared" ca="1" si="56"/>
        <v>0.37834065990031052</v>
      </c>
      <c r="F302" s="42">
        <v>0.5</v>
      </c>
      <c r="G302" s="43">
        <f t="shared" ca="1" si="57"/>
        <v>8.2477076238427536</v>
      </c>
      <c r="H302" s="42">
        <f t="shared" ca="1" si="58"/>
        <v>-0.25448891143041341</v>
      </c>
      <c r="I302" s="42">
        <v>0.5</v>
      </c>
      <c r="J302" s="43">
        <f t="shared" ca="1" si="59"/>
        <v>3.881659382591931</v>
      </c>
      <c r="K302" s="43">
        <f t="shared" ca="1" si="60"/>
        <v>-95.910631929633126</v>
      </c>
      <c r="L302" s="42">
        <f t="shared" si="52"/>
        <v>1.6865349334963394E-14</v>
      </c>
      <c r="M302" s="42">
        <f ca="1">K302-D302</f>
        <v>8.5782898917400985E-2</v>
      </c>
      <c r="N302" s="42">
        <f t="shared" ca="1" si="61"/>
        <v>5086339880287.2871</v>
      </c>
      <c r="O302" s="42">
        <f t="shared" ca="1" si="62"/>
        <v>0</v>
      </c>
      <c r="P302" s="42">
        <f t="shared" ca="1" si="63"/>
        <v>0.93584826161726054</v>
      </c>
      <c r="Q302" s="44">
        <f ca="1">IF(M302&lt;0,G302,IF(P302&lt;O302,G302,B302))</f>
        <v>8.0585372938925985</v>
      </c>
      <c r="R302" s="44">
        <f ca="1">IF(N302&lt;0,J302,IF(P302&lt;O302,J302,C302))</f>
        <v>4.0089038383071376</v>
      </c>
      <c r="S302" s="44">
        <f t="shared" ca="1" si="64"/>
        <v>-95.996414828550527</v>
      </c>
    </row>
    <row r="303" spans="1:19" x14ac:dyDescent="0.4">
      <c r="A303" s="42">
        <v>302</v>
      </c>
      <c r="B303" s="41">
        <f t="shared" ca="1" si="53"/>
        <v>8.0585372938925985</v>
      </c>
      <c r="C303" s="41">
        <f t="shared" ca="1" si="54"/>
        <v>4.0089038383071376</v>
      </c>
      <c r="D303" s="41">
        <f t="shared" ca="1" si="55"/>
        <v>-95.996414828550527</v>
      </c>
      <c r="E303" s="42">
        <f t="shared" ca="1" si="56"/>
        <v>-4.4009554632668868E-2</v>
      </c>
      <c r="F303" s="42">
        <v>0.5</v>
      </c>
      <c r="G303" s="43">
        <f t="shared" ca="1" si="57"/>
        <v>8.0365325165762638</v>
      </c>
      <c r="H303" s="42">
        <f t="shared" ca="1" si="58"/>
        <v>-0.66412821075462025</v>
      </c>
      <c r="I303" s="42">
        <v>0.5</v>
      </c>
      <c r="J303" s="43">
        <f t="shared" ca="1" si="59"/>
        <v>3.6768397329298272</v>
      </c>
      <c r="K303" s="43">
        <f t="shared" ca="1" si="60"/>
        <v>-95.789800258806878</v>
      </c>
      <c r="L303" s="42">
        <f t="shared" si="52"/>
        <v>1.5178814401467051E-14</v>
      </c>
      <c r="M303" s="42">
        <f ca="1">K303-D303</f>
        <v>0.20661456974364967</v>
      </c>
      <c r="N303" s="42">
        <f t="shared" ca="1" si="61"/>
        <v>13612036110256.418</v>
      </c>
      <c r="O303" s="42">
        <f t="shared" ca="1" si="62"/>
        <v>0</v>
      </c>
      <c r="P303" s="42">
        <f t="shared" ca="1" si="63"/>
        <v>0.6387183368603595</v>
      </c>
      <c r="Q303" s="44">
        <f ca="1">IF(M303&lt;0,G303,IF(P303&lt;O303,G303,B303))</f>
        <v>8.0585372938925985</v>
      </c>
      <c r="R303" s="44">
        <f ca="1">IF(N303&lt;0,J303,IF(P303&lt;O303,J303,C303))</f>
        <v>4.0089038383071376</v>
      </c>
      <c r="S303" s="44">
        <f t="shared" ca="1" si="64"/>
        <v>-95.996414828550527</v>
      </c>
    </row>
    <row r="304" spans="1:19" x14ac:dyDescent="0.4">
      <c r="A304" s="42">
        <v>303</v>
      </c>
      <c r="B304" s="41">
        <f t="shared" ca="1" si="53"/>
        <v>8.0585372938925985</v>
      </c>
      <c r="C304" s="41">
        <f t="shared" ca="1" si="54"/>
        <v>4.0089038383071376</v>
      </c>
      <c r="D304" s="41">
        <f t="shared" ca="1" si="55"/>
        <v>-95.996414828550527</v>
      </c>
      <c r="E304" s="42">
        <f t="shared" ca="1" si="56"/>
        <v>-0.81002987585062458</v>
      </c>
      <c r="F304" s="42">
        <v>0.5</v>
      </c>
      <c r="G304" s="43">
        <f t="shared" ca="1" si="57"/>
        <v>7.6535223559672865</v>
      </c>
      <c r="H304" s="42">
        <f t="shared" ca="1" si="58"/>
        <v>-0.47462777769194675</v>
      </c>
      <c r="I304" s="42">
        <v>0.5</v>
      </c>
      <c r="J304" s="43">
        <f t="shared" ca="1" si="59"/>
        <v>3.7715899494611644</v>
      </c>
      <c r="K304" s="43">
        <f t="shared" ca="1" si="60"/>
        <v>-95.77561093981123</v>
      </c>
      <c r="L304" s="42">
        <f t="shared" si="52"/>
        <v>1.3660932961320346E-14</v>
      </c>
      <c r="M304" s="42">
        <f ca="1">K304-D304</f>
        <v>0.22080388873929735</v>
      </c>
      <c r="N304" s="42">
        <f t="shared" ca="1" si="61"/>
        <v>16163163186912.85</v>
      </c>
      <c r="O304" s="42">
        <f t="shared" ca="1" si="62"/>
        <v>0</v>
      </c>
      <c r="P304" s="42">
        <f t="shared" ca="1" si="63"/>
        <v>0.46725489587357094</v>
      </c>
      <c r="Q304" s="44">
        <f ca="1">IF(M304&lt;0,G304,IF(P304&lt;O304,G304,B304))</f>
        <v>8.0585372938925985</v>
      </c>
      <c r="R304" s="44">
        <f ca="1">IF(N304&lt;0,J304,IF(P304&lt;O304,J304,C304))</f>
        <v>4.0089038383071376</v>
      </c>
      <c r="S304" s="44">
        <f t="shared" ca="1" si="64"/>
        <v>-95.996414828550527</v>
      </c>
    </row>
    <row r="305" spans="1:19" x14ac:dyDescent="0.4">
      <c r="A305" s="42">
        <v>304</v>
      </c>
      <c r="B305" s="41">
        <f t="shared" ca="1" si="53"/>
        <v>8.0585372938925985</v>
      </c>
      <c r="C305" s="41">
        <f t="shared" ca="1" si="54"/>
        <v>4.0089038383071376</v>
      </c>
      <c r="D305" s="41">
        <f t="shared" ca="1" si="55"/>
        <v>-95.996414828550527</v>
      </c>
      <c r="E305" s="42">
        <f t="shared" ca="1" si="56"/>
        <v>-0.52536552220487076</v>
      </c>
      <c r="F305" s="42">
        <v>0.5</v>
      </c>
      <c r="G305" s="43">
        <f t="shared" ca="1" si="57"/>
        <v>7.7958545327901634</v>
      </c>
      <c r="H305" s="42">
        <f t="shared" ca="1" si="58"/>
        <v>0.58504367444180527</v>
      </c>
      <c r="I305" s="42">
        <v>0.5</v>
      </c>
      <c r="J305" s="43">
        <f t="shared" ca="1" si="59"/>
        <v>4.3014256755280407</v>
      </c>
      <c r="K305" s="43">
        <f t="shared" ca="1" si="60"/>
        <v>-95.776609752482614</v>
      </c>
      <c r="L305" s="42">
        <f t="shared" si="52"/>
        <v>1.2294839665188313E-14</v>
      </c>
      <c r="M305" s="42">
        <f ca="1">K305-D305</f>
        <v>0.21980507606791377</v>
      </c>
      <c r="N305" s="42">
        <f t="shared" ca="1" si="61"/>
        <v>17877831842758.492</v>
      </c>
      <c r="O305" s="42">
        <f t="shared" ca="1" si="62"/>
        <v>0</v>
      </c>
      <c r="P305" s="42">
        <f t="shared" ca="1" si="63"/>
        <v>0.79745092569000753</v>
      </c>
      <c r="Q305" s="44">
        <f ca="1">IF(M305&lt;0,G305,IF(P305&lt;O305,G305,B305))</f>
        <v>8.0585372938925985</v>
      </c>
      <c r="R305" s="44">
        <f ca="1">IF(N305&lt;0,J305,IF(P305&lt;O305,J305,C305))</f>
        <v>4.0089038383071376</v>
      </c>
      <c r="S305" s="44">
        <f t="shared" ca="1" si="64"/>
        <v>-95.996414828550527</v>
      </c>
    </row>
    <row r="306" spans="1:19" x14ac:dyDescent="0.4">
      <c r="A306" s="42">
        <v>305</v>
      </c>
      <c r="B306" s="41">
        <f t="shared" ca="1" si="53"/>
        <v>8.0585372938925985</v>
      </c>
      <c r="C306" s="41">
        <f t="shared" ca="1" si="54"/>
        <v>4.0089038383071376</v>
      </c>
      <c r="D306" s="41">
        <f t="shared" ca="1" si="55"/>
        <v>-95.996414828550527</v>
      </c>
      <c r="E306" s="42">
        <f t="shared" ca="1" si="56"/>
        <v>-0.40684025181249983</v>
      </c>
      <c r="F306" s="42">
        <v>0.5</v>
      </c>
      <c r="G306" s="43">
        <f t="shared" ca="1" si="57"/>
        <v>7.8551171679863483</v>
      </c>
      <c r="H306" s="42">
        <f t="shared" ca="1" si="58"/>
        <v>0.38544421124923645</v>
      </c>
      <c r="I306" s="42">
        <v>0.5</v>
      </c>
      <c r="J306" s="43">
        <f t="shared" ca="1" si="59"/>
        <v>4.2016259439317558</v>
      </c>
      <c r="K306" s="43">
        <f t="shared" ca="1" si="60"/>
        <v>-95.897702922454954</v>
      </c>
      <c r="L306" s="42">
        <f t="shared" si="52"/>
        <v>1.1065355698669482E-14</v>
      </c>
      <c r="M306" s="42">
        <f ca="1">K306-D306</f>
        <v>9.8711906095573454E-2</v>
      </c>
      <c r="N306" s="42">
        <f t="shared" ca="1" si="61"/>
        <v>8920807318235.8477</v>
      </c>
      <c r="O306" s="42">
        <f t="shared" ca="1" si="62"/>
        <v>0</v>
      </c>
      <c r="P306" s="42">
        <f t="shared" ca="1" si="63"/>
        <v>0.25706554163567519</v>
      </c>
      <c r="Q306" s="44">
        <f ca="1">IF(M306&lt;0,G306,IF(P306&lt;O306,G306,B306))</f>
        <v>8.0585372938925985</v>
      </c>
      <c r="R306" s="44">
        <f ca="1">IF(N306&lt;0,J306,IF(P306&lt;O306,J306,C306))</f>
        <v>4.0089038383071376</v>
      </c>
      <c r="S306" s="44">
        <f t="shared" ca="1" si="64"/>
        <v>-95.996414828550527</v>
      </c>
    </row>
    <row r="307" spans="1:19" x14ac:dyDescent="0.4">
      <c r="A307" s="42">
        <v>306</v>
      </c>
      <c r="B307" s="41">
        <f t="shared" ca="1" si="53"/>
        <v>8.0585372938925985</v>
      </c>
      <c r="C307" s="41">
        <f t="shared" ca="1" si="54"/>
        <v>4.0089038383071376</v>
      </c>
      <c r="D307" s="41">
        <f t="shared" ca="1" si="55"/>
        <v>-95.996414828550527</v>
      </c>
      <c r="E307" s="42">
        <f t="shared" ca="1" si="56"/>
        <v>2.8245188206573957E-2</v>
      </c>
      <c r="F307" s="42">
        <v>0.5</v>
      </c>
      <c r="G307" s="43">
        <f t="shared" ca="1" si="57"/>
        <v>8.0726598879958864</v>
      </c>
      <c r="H307" s="42">
        <f t="shared" ca="1" si="58"/>
        <v>0.95023436579231602</v>
      </c>
      <c r="I307" s="42">
        <v>0.5</v>
      </c>
      <c r="J307" s="43">
        <f t="shared" ca="1" si="59"/>
        <v>4.4840210212032954</v>
      </c>
      <c r="K307" s="43">
        <f t="shared" ca="1" si="60"/>
        <v>-95.526167842743064</v>
      </c>
      <c r="L307" s="42">
        <f t="shared" si="52"/>
        <v>9.9588201288025332E-15</v>
      </c>
      <c r="M307" s="42">
        <f ca="1">K307-D307</f>
        <v>0.4702469858074636</v>
      </c>
      <c r="N307" s="42">
        <f t="shared" ca="1" si="61"/>
        <v>47219146417499.055</v>
      </c>
      <c r="O307" s="42">
        <f t="shared" ca="1" si="62"/>
        <v>0</v>
      </c>
      <c r="P307" s="42">
        <f t="shared" ca="1" si="63"/>
        <v>0.56786471666744565</v>
      </c>
      <c r="Q307" s="44">
        <f ca="1">IF(M307&lt;0,G307,IF(P307&lt;O307,G307,B307))</f>
        <v>8.0585372938925985</v>
      </c>
      <c r="R307" s="44">
        <f ca="1">IF(N307&lt;0,J307,IF(P307&lt;O307,J307,C307))</f>
        <v>4.0089038383071376</v>
      </c>
      <c r="S307" s="44">
        <f t="shared" ca="1" si="64"/>
        <v>-95.996414828550527</v>
      </c>
    </row>
    <row r="308" spans="1:19" x14ac:dyDescent="0.4">
      <c r="A308" s="42">
        <v>307</v>
      </c>
      <c r="B308" s="41">
        <f t="shared" ca="1" si="53"/>
        <v>8.0585372938925985</v>
      </c>
      <c r="C308" s="41">
        <f t="shared" ca="1" si="54"/>
        <v>4.0089038383071376</v>
      </c>
      <c r="D308" s="41">
        <f t="shared" ca="1" si="55"/>
        <v>-95.996414828550527</v>
      </c>
      <c r="E308" s="42">
        <f t="shared" ca="1" si="56"/>
        <v>-0.15124136059936921</v>
      </c>
      <c r="F308" s="42">
        <v>0.5</v>
      </c>
      <c r="G308" s="43">
        <f t="shared" ca="1" si="57"/>
        <v>7.9829166135929137</v>
      </c>
      <c r="H308" s="42">
        <f t="shared" ca="1" si="58"/>
        <v>-8.2481039265931644E-2</v>
      </c>
      <c r="I308" s="42">
        <v>0.5</v>
      </c>
      <c r="J308" s="43">
        <f t="shared" ca="1" si="59"/>
        <v>3.9676633186741719</v>
      </c>
      <c r="K308" s="43">
        <f t="shared" ca="1" si="60"/>
        <v>-95.997616835990527</v>
      </c>
      <c r="L308" s="42">
        <f t="shared" si="52"/>
        <v>8.9629381159222817E-15</v>
      </c>
      <c r="M308" s="42">
        <f ca="1">K308-D308</f>
        <v>-1.2020074399998748E-3</v>
      </c>
      <c r="N308" s="42">
        <f t="shared" ca="1" si="61"/>
        <v>-134108639873.85556</v>
      </c>
      <c r="O308" s="42">
        <f t="shared" ca="1" si="62"/>
        <v>1</v>
      </c>
      <c r="P308" s="42">
        <f t="shared" ca="1" si="63"/>
        <v>8.5175556340191916E-2</v>
      </c>
      <c r="Q308" s="44">
        <f ca="1">IF(M308&lt;0,G308,IF(P308&lt;O308,G308,B308))</f>
        <v>7.9829166135929137</v>
      </c>
      <c r="R308" s="44">
        <f ca="1">IF(N308&lt;0,J308,IF(P308&lt;O308,J308,C308))</f>
        <v>3.9676633186741719</v>
      </c>
      <c r="S308" s="44">
        <f t="shared" ca="1" si="64"/>
        <v>-95.997616835990527</v>
      </c>
    </row>
    <row r="309" spans="1:19" x14ac:dyDescent="0.4">
      <c r="A309" s="42">
        <v>308</v>
      </c>
      <c r="B309" s="41">
        <f t="shared" ca="1" si="53"/>
        <v>7.9829166135929137</v>
      </c>
      <c r="C309" s="41">
        <f t="shared" ca="1" si="54"/>
        <v>3.9676633186741719</v>
      </c>
      <c r="D309" s="41">
        <f t="shared" ca="1" si="55"/>
        <v>-95.997616835990527</v>
      </c>
      <c r="E309" s="42">
        <f t="shared" ca="1" si="56"/>
        <v>8.7813480994506588E-2</v>
      </c>
      <c r="F309" s="42">
        <v>0.5</v>
      </c>
      <c r="G309" s="43">
        <f t="shared" ca="1" si="57"/>
        <v>8.0268233540901672</v>
      </c>
      <c r="H309" s="42">
        <f t="shared" ca="1" si="58"/>
        <v>0.37847376497601903</v>
      </c>
      <c r="I309" s="42">
        <v>0.5</v>
      </c>
      <c r="J309" s="43">
        <f t="shared" ca="1" si="59"/>
        <v>4.1569002011621814</v>
      </c>
      <c r="K309" s="43">
        <f t="shared" ca="1" si="60"/>
        <v>-95.950045161425891</v>
      </c>
      <c r="L309" s="42">
        <f t="shared" si="52"/>
        <v>8.0666443043300548E-15</v>
      </c>
      <c r="M309" s="42">
        <f ca="1">K309-D309</f>
        <v>4.7571674564636623E-2</v>
      </c>
      <c r="N309" s="42">
        <f t="shared" ca="1" si="61"/>
        <v>5897331377199.916</v>
      </c>
      <c r="O309" s="42">
        <f t="shared" ca="1" si="62"/>
        <v>0</v>
      </c>
      <c r="P309" s="42">
        <f t="shared" ca="1" si="63"/>
        <v>0.28697473827520348</v>
      </c>
      <c r="Q309" s="44">
        <f ca="1">IF(M309&lt;0,G309,IF(P309&lt;O309,G309,B309))</f>
        <v>7.9829166135929137</v>
      </c>
      <c r="R309" s="44">
        <f ca="1">IF(N309&lt;0,J309,IF(P309&lt;O309,J309,C309))</f>
        <v>3.9676633186741719</v>
      </c>
      <c r="S309" s="44">
        <f t="shared" ca="1" si="64"/>
        <v>-95.997616835990527</v>
      </c>
    </row>
    <row r="310" spans="1:19" x14ac:dyDescent="0.4">
      <c r="A310" s="42">
        <v>309</v>
      </c>
      <c r="B310" s="41">
        <f t="shared" ca="1" si="53"/>
        <v>7.9829166135929137</v>
      </c>
      <c r="C310" s="41">
        <f t="shared" ca="1" si="54"/>
        <v>3.9676633186741719</v>
      </c>
      <c r="D310" s="41">
        <f t="shared" ca="1" si="55"/>
        <v>-95.997616835990527</v>
      </c>
      <c r="E310" s="42">
        <f t="shared" ca="1" si="56"/>
        <v>0.86319274292225234</v>
      </c>
      <c r="F310" s="42">
        <v>0.5</v>
      </c>
      <c r="G310" s="43">
        <f t="shared" ca="1" si="57"/>
        <v>8.4145129850540403</v>
      </c>
      <c r="H310" s="42">
        <f t="shared" ca="1" si="58"/>
        <v>0.81224672034701495</v>
      </c>
      <c r="I310" s="42">
        <v>0.5</v>
      </c>
      <c r="J310" s="43">
        <f t="shared" ca="1" si="59"/>
        <v>4.3737866788476794</v>
      </c>
      <c r="K310" s="43">
        <f t="shared" ca="1" si="60"/>
        <v>-95.548746022653631</v>
      </c>
      <c r="L310" s="42">
        <f t="shared" si="52"/>
        <v>7.2599798738970495E-15</v>
      </c>
      <c r="M310" s="42">
        <f ca="1">K310-D310</f>
        <v>0.44887081333689594</v>
      </c>
      <c r="N310" s="42">
        <f t="shared" ca="1" si="61"/>
        <v>61828107120626.047</v>
      </c>
      <c r="O310" s="42">
        <f t="shared" ca="1" si="62"/>
        <v>0</v>
      </c>
      <c r="P310" s="42">
        <f t="shared" ca="1" si="63"/>
        <v>0.90922308588150369</v>
      </c>
      <c r="Q310" s="44">
        <f ca="1">IF(M310&lt;0,G310,IF(P310&lt;O310,G310,B310))</f>
        <v>7.9829166135929137</v>
      </c>
      <c r="R310" s="44">
        <f ca="1">IF(N310&lt;0,J310,IF(P310&lt;O310,J310,C310))</f>
        <v>3.9676633186741719</v>
      </c>
      <c r="S310" s="44">
        <f t="shared" ca="1" si="64"/>
        <v>-95.997616835990527</v>
      </c>
    </row>
    <row r="311" spans="1:19" x14ac:dyDescent="0.4">
      <c r="A311" s="42">
        <v>310</v>
      </c>
      <c r="B311" s="41">
        <f t="shared" ca="1" si="53"/>
        <v>7.9829166135929137</v>
      </c>
      <c r="C311" s="41">
        <f t="shared" ca="1" si="54"/>
        <v>3.9676633186741719</v>
      </c>
      <c r="D311" s="41">
        <f t="shared" ca="1" si="55"/>
        <v>-95.997616835990527</v>
      </c>
      <c r="E311" s="42">
        <f t="shared" ca="1" si="56"/>
        <v>-0.58851675739484333</v>
      </c>
      <c r="F311" s="42">
        <v>0.5</v>
      </c>
      <c r="G311" s="43">
        <f t="shared" ca="1" si="57"/>
        <v>7.6886582348954917</v>
      </c>
      <c r="H311" s="42">
        <f t="shared" ca="1" si="58"/>
        <v>0.69839570365302417</v>
      </c>
      <c r="I311" s="42">
        <v>0.5</v>
      </c>
      <c r="J311" s="43">
        <f t="shared" ca="1" si="59"/>
        <v>4.3168611705006841</v>
      </c>
      <c r="K311" s="43">
        <f t="shared" ca="1" si="60"/>
        <v>-95.702264302559485</v>
      </c>
      <c r="L311" s="42">
        <f t="shared" si="52"/>
        <v>6.5339818865073446E-15</v>
      </c>
      <c r="M311" s="42">
        <f ca="1">K311-D311</f>
        <v>0.29535253343104273</v>
      </c>
      <c r="N311" s="42">
        <f t="shared" ca="1" si="61"/>
        <v>45202533242546.164</v>
      </c>
      <c r="O311" s="42">
        <f t="shared" ca="1" si="62"/>
        <v>0</v>
      </c>
      <c r="P311" s="42">
        <f t="shared" ca="1" si="63"/>
        <v>4.4688836342193339E-2</v>
      </c>
      <c r="Q311" s="44">
        <f ca="1">IF(M311&lt;0,G311,IF(P311&lt;O311,G311,B311))</f>
        <v>7.9829166135929137</v>
      </c>
      <c r="R311" s="44">
        <f ca="1">IF(N311&lt;0,J311,IF(P311&lt;O311,J311,C311))</f>
        <v>3.9676633186741719</v>
      </c>
      <c r="S311" s="44">
        <f t="shared" ca="1" si="64"/>
        <v>-95.997616835990527</v>
      </c>
    </row>
    <row r="312" spans="1:19" x14ac:dyDescent="0.4">
      <c r="A312" s="42">
        <v>311</v>
      </c>
      <c r="B312" s="41">
        <f t="shared" ca="1" si="53"/>
        <v>7.9829166135929137</v>
      </c>
      <c r="C312" s="41">
        <f t="shared" ca="1" si="54"/>
        <v>3.9676633186741719</v>
      </c>
      <c r="D312" s="41">
        <f t="shared" ca="1" si="55"/>
        <v>-95.997616835990527</v>
      </c>
      <c r="E312" s="42">
        <f t="shared" ca="1" si="56"/>
        <v>-0.46640013467827868</v>
      </c>
      <c r="F312" s="42">
        <v>0.5</v>
      </c>
      <c r="G312" s="43">
        <f t="shared" ca="1" si="57"/>
        <v>7.749716546253774</v>
      </c>
      <c r="H312" s="42">
        <f t="shared" ca="1" si="58"/>
        <v>-0.42462162845355</v>
      </c>
      <c r="I312" s="42">
        <v>0.5</v>
      </c>
      <c r="J312" s="43">
        <f t="shared" ca="1" si="59"/>
        <v>3.755352504447397</v>
      </c>
      <c r="K312" s="43">
        <f t="shared" ca="1" si="60"/>
        <v>-95.817653398620536</v>
      </c>
      <c r="L312" s="42">
        <f t="shared" si="52"/>
        <v>5.8805836978566096E-15</v>
      </c>
      <c r="M312" s="42">
        <f ca="1">K312-D312</f>
        <v>0.17996343736999165</v>
      </c>
      <c r="N312" s="42">
        <f t="shared" ca="1" si="61"/>
        <v>30602988855610.676</v>
      </c>
      <c r="O312" s="42">
        <f t="shared" ca="1" si="62"/>
        <v>0</v>
      </c>
      <c r="P312" s="42">
        <f t="shared" ca="1" si="63"/>
        <v>1.5323503536565308E-2</v>
      </c>
      <c r="Q312" s="44">
        <f ca="1">IF(M312&lt;0,G312,IF(P312&lt;O312,G312,B312))</f>
        <v>7.9829166135929137</v>
      </c>
      <c r="R312" s="44">
        <f ca="1">IF(N312&lt;0,J312,IF(P312&lt;O312,J312,C312))</f>
        <v>3.9676633186741719</v>
      </c>
      <c r="S312" s="44">
        <f t="shared" ca="1" si="64"/>
        <v>-95.997616835990527</v>
      </c>
    </row>
    <row r="313" spans="1:19" x14ac:dyDescent="0.4">
      <c r="A313" s="42">
        <v>312</v>
      </c>
      <c r="B313" s="41">
        <f t="shared" ca="1" si="53"/>
        <v>7.9829166135929137</v>
      </c>
      <c r="C313" s="41">
        <f t="shared" ca="1" si="54"/>
        <v>3.9676633186741719</v>
      </c>
      <c r="D313" s="41">
        <f t="shared" ca="1" si="55"/>
        <v>-95.997616835990527</v>
      </c>
      <c r="E313" s="42">
        <f t="shared" ca="1" si="56"/>
        <v>-0.70722129630492758</v>
      </c>
      <c r="F313" s="42">
        <v>0.5</v>
      </c>
      <c r="G313" s="43">
        <f t="shared" ca="1" si="57"/>
        <v>7.6293059654404498</v>
      </c>
      <c r="H313" s="42">
        <f t="shared" ca="1" si="58"/>
        <v>-0.88229768033768763</v>
      </c>
      <c r="I313" s="42">
        <v>0.5</v>
      </c>
      <c r="J313" s="43">
        <f t="shared" ca="1" si="59"/>
        <v>3.526514478505328</v>
      </c>
      <c r="K313" s="43">
        <f t="shared" ca="1" si="60"/>
        <v>-95.4142088546118</v>
      </c>
      <c r="L313" s="42">
        <f t="shared" si="52"/>
        <v>5.2925253280709488E-15</v>
      </c>
      <c r="M313" s="42">
        <f ca="1">K313-D313</f>
        <v>0.58340798137872696</v>
      </c>
      <c r="N313" s="42">
        <f t="shared" ca="1" si="61"/>
        <v>110232440132954.64</v>
      </c>
      <c r="O313" s="42">
        <f t="shared" ca="1" si="62"/>
        <v>0</v>
      </c>
      <c r="P313" s="42">
        <f t="shared" ca="1" si="63"/>
        <v>9.9038763616178582E-2</v>
      </c>
      <c r="Q313" s="44">
        <f ca="1">IF(M313&lt;0,G313,IF(P313&lt;O313,G313,B313))</f>
        <v>7.9829166135929137</v>
      </c>
      <c r="R313" s="44">
        <f ca="1">IF(N313&lt;0,J313,IF(P313&lt;O313,J313,C313))</f>
        <v>3.9676633186741719</v>
      </c>
      <c r="S313" s="44">
        <f t="shared" ca="1" si="64"/>
        <v>-95.997616835990527</v>
      </c>
    </row>
    <row r="314" spans="1:19" x14ac:dyDescent="0.4">
      <c r="A314" s="42">
        <v>313</v>
      </c>
      <c r="B314" s="41">
        <f t="shared" ca="1" si="53"/>
        <v>7.9829166135929137</v>
      </c>
      <c r="C314" s="41">
        <f t="shared" ca="1" si="54"/>
        <v>3.9676633186741719</v>
      </c>
      <c r="D314" s="41">
        <f t="shared" ca="1" si="55"/>
        <v>-95.997616835990527</v>
      </c>
      <c r="E314" s="42">
        <f t="shared" ca="1" si="56"/>
        <v>-0.66367395297334397</v>
      </c>
      <c r="F314" s="42">
        <v>0.5</v>
      </c>
      <c r="G314" s="43">
        <f t="shared" ca="1" si="57"/>
        <v>7.6510796371062417</v>
      </c>
      <c r="H314" s="42">
        <f t="shared" ca="1" si="58"/>
        <v>0.2468464592327535</v>
      </c>
      <c r="I314" s="42">
        <v>0.5</v>
      </c>
      <c r="J314" s="43">
        <f t="shared" ca="1" si="59"/>
        <v>4.0910865482905487</v>
      </c>
      <c r="K314" s="43">
        <f t="shared" ca="1" si="60"/>
        <v>-95.861661061799111</v>
      </c>
      <c r="L314" s="42">
        <f t="shared" si="52"/>
        <v>4.7632727952638543E-15</v>
      </c>
      <c r="M314" s="42">
        <f ca="1">K314-D314</f>
        <v>0.13595577419141591</v>
      </c>
      <c r="N314" s="42">
        <f t="shared" ca="1" si="61"/>
        <v>28542512687200.574</v>
      </c>
      <c r="O314" s="42">
        <f t="shared" ca="1" si="62"/>
        <v>0</v>
      </c>
      <c r="P314" s="42">
        <f t="shared" ca="1" si="63"/>
        <v>0.65145891055402361</v>
      </c>
      <c r="Q314" s="44">
        <f ca="1">IF(M314&lt;0,G314,IF(P314&lt;O314,G314,B314))</f>
        <v>7.9829166135929137</v>
      </c>
      <c r="R314" s="44">
        <f ca="1">IF(N314&lt;0,J314,IF(P314&lt;O314,J314,C314))</f>
        <v>3.9676633186741719</v>
      </c>
      <c r="S314" s="44">
        <f t="shared" ca="1" si="64"/>
        <v>-95.997616835990527</v>
      </c>
    </row>
    <row r="315" spans="1:19" x14ac:dyDescent="0.4">
      <c r="A315" s="42">
        <v>314</v>
      </c>
      <c r="B315" s="41">
        <f t="shared" ca="1" si="53"/>
        <v>7.9829166135929137</v>
      </c>
      <c r="C315" s="41">
        <f t="shared" ca="1" si="54"/>
        <v>3.9676633186741719</v>
      </c>
      <c r="D315" s="41">
        <f t="shared" ca="1" si="55"/>
        <v>-95.997616835990527</v>
      </c>
      <c r="E315" s="42">
        <f t="shared" ca="1" si="56"/>
        <v>0.76467380501388549</v>
      </c>
      <c r="F315" s="42">
        <v>0.5</v>
      </c>
      <c r="G315" s="43">
        <f t="shared" ca="1" si="57"/>
        <v>8.3652535160998571</v>
      </c>
      <c r="H315" s="42">
        <f t="shared" ca="1" si="58"/>
        <v>0.60739462735409733</v>
      </c>
      <c r="I315" s="42">
        <v>0.5</v>
      </c>
      <c r="J315" s="43">
        <f t="shared" ca="1" si="59"/>
        <v>4.2713606323512208</v>
      </c>
      <c r="K315" s="43">
        <f t="shared" ca="1" si="60"/>
        <v>-95.719316683396585</v>
      </c>
      <c r="L315" s="42">
        <f t="shared" si="52"/>
        <v>4.2869455157374698E-15</v>
      </c>
      <c r="M315" s="42">
        <f ca="1">K315-D315</f>
        <v>0.27830015259394258</v>
      </c>
      <c r="N315" s="42">
        <f t="shared" ca="1" si="61"/>
        <v>64918052159118.117</v>
      </c>
      <c r="O315" s="42">
        <f t="shared" ca="1" si="62"/>
        <v>0</v>
      </c>
      <c r="P315" s="42">
        <f t="shared" ca="1" si="63"/>
        <v>0.80811563809379028</v>
      </c>
      <c r="Q315" s="44">
        <f ca="1">IF(M315&lt;0,G315,IF(P315&lt;O315,G315,B315))</f>
        <v>7.9829166135929137</v>
      </c>
      <c r="R315" s="44">
        <f ca="1">IF(N315&lt;0,J315,IF(P315&lt;O315,J315,C315))</f>
        <v>3.9676633186741719</v>
      </c>
      <c r="S315" s="44">
        <f t="shared" ca="1" si="64"/>
        <v>-95.997616835990527</v>
      </c>
    </row>
    <row r="316" spans="1:19" x14ac:dyDescent="0.4">
      <c r="A316" s="42">
        <v>315</v>
      </c>
      <c r="B316" s="41">
        <f t="shared" ca="1" si="53"/>
        <v>7.9829166135929137</v>
      </c>
      <c r="C316" s="41">
        <f t="shared" ca="1" si="54"/>
        <v>3.9676633186741719</v>
      </c>
      <c r="D316" s="41">
        <f t="shared" ca="1" si="55"/>
        <v>-95.997616835990527</v>
      </c>
      <c r="E316" s="42">
        <f t="shared" ca="1" si="56"/>
        <v>0.17361286661633879</v>
      </c>
      <c r="F316" s="42">
        <v>0.5</v>
      </c>
      <c r="G316" s="43">
        <f t="shared" ca="1" si="57"/>
        <v>8.0697230469010837</v>
      </c>
      <c r="H316" s="42">
        <f t="shared" ca="1" si="58"/>
        <v>0.83955544914272595</v>
      </c>
      <c r="I316" s="42">
        <v>0.5</v>
      </c>
      <c r="J316" s="43">
        <f t="shared" ca="1" si="59"/>
        <v>4.3874410432455351</v>
      </c>
      <c r="K316" s="43">
        <f t="shared" ca="1" si="60"/>
        <v>-95.694917572748466</v>
      </c>
      <c r="L316" s="42">
        <f t="shared" si="52"/>
        <v>3.8582509641637228E-15</v>
      </c>
      <c r="M316" s="42">
        <f ca="1">K316-D316</f>
        <v>0.30269926324206153</v>
      </c>
      <c r="N316" s="42">
        <f t="shared" ca="1" si="61"/>
        <v>78455047650761.547</v>
      </c>
      <c r="O316" s="42">
        <f t="shared" ca="1" si="62"/>
        <v>0</v>
      </c>
      <c r="P316" s="42">
        <f t="shared" ca="1" si="63"/>
        <v>0.99879498550458734</v>
      </c>
      <c r="Q316" s="44">
        <f ca="1">IF(M316&lt;0,G316,IF(P316&lt;O316,G316,B316))</f>
        <v>7.9829166135929137</v>
      </c>
      <c r="R316" s="44">
        <f ca="1">IF(N316&lt;0,J316,IF(P316&lt;O316,J316,C316))</f>
        <v>3.9676633186741719</v>
      </c>
      <c r="S316" s="44">
        <f t="shared" ca="1" si="64"/>
        <v>-95.997616835990527</v>
      </c>
    </row>
    <row r="317" spans="1:19" x14ac:dyDescent="0.4">
      <c r="A317" s="42">
        <v>316</v>
      </c>
      <c r="B317" s="41">
        <f t="shared" ca="1" si="53"/>
        <v>7.9829166135929137</v>
      </c>
      <c r="C317" s="41">
        <f t="shared" ca="1" si="54"/>
        <v>3.9676633186741719</v>
      </c>
      <c r="D317" s="41">
        <f t="shared" ca="1" si="55"/>
        <v>-95.997616835990527</v>
      </c>
      <c r="E317" s="42">
        <f t="shared" ca="1" si="56"/>
        <v>-2.6452667716674982E-2</v>
      </c>
      <c r="F317" s="42">
        <v>0.5</v>
      </c>
      <c r="G317" s="43">
        <f t="shared" ca="1" si="57"/>
        <v>7.9696902797345759</v>
      </c>
      <c r="H317" s="42">
        <f t="shared" ca="1" si="58"/>
        <v>-0.60767864706505215</v>
      </c>
      <c r="I317" s="42">
        <v>0.5</v>
      </c>
      <c r="J317" s="43">
        <f t="shared" ca="1" si="59"/>
        <v>3.6638239951416458</v>
      </c>
      <c r="K317" s="43">
        <f t="shared" ca="1" si="60"/>
        <v>-95.773052708372376</v>
      </c>
      <c r="L317" s="42">
        <f t="shared" si="52"/>
        <v>3.4724258677473507E-15</v>
      </c>
      <c r="M317" s="42">
        <f ca="1">K317-D317</f>
        <v>0.22456412761815159</v>
      </c>
      <c r="N317" s="42">
        <f t="shared" ca="1" si="61"/>
        <v>64670675824630.906</v>
      </c>
      <c r="O317" s="42">
        <f t="shared" ca="1" si="62"/>
        <v>0</v>
      </c>
      <c r="P317" s="42">
        <f t="shared" ca="1" si="63"/>
        <v>9.8893542941659307E-3</v>
      </c>
      <c r="Q317" s="44">
        <f ca="1">IF(M317&lt;0,G317,IF(P317&lt;O317,G317,B317))</f>
        <v>7.9829166135929137</v>
      </c>
      <c r="R317" s="44">
        <f ca="1">IF(N317&lt;0,J317,IF(P317&lt;O317,J317,C317))</f>
        <v>3.9676633186741719</v>
      </c>
      <c r="S317" s="44">
        <f t="shared" ca="1" si="64"/>
        <v>-95.997616835990527</v>
      </c>
    </row>
    <row r="318" spans="1:19" x14ac:dyDescent="0.4">
      <c r="A318" s="42">
        <v>317</v>
      </c>
      <c r="B318" s="41">
        <f t="shared" ca="1" si="53"/>
        <v>7.9829166135929137</v>
      </c>
      <c r="C318" s="41">
        <f t="shared" ca="1" si="54"/>
        <v>3.9676633186741719</v>
      </c>
      <c r="D318" s="41">
        <f t="shared" ca="1" si="55"/>
        <v>-95.997616835990527</v>
      </c>
      <c r="E318" s="42">
        <f t="shared" ca="1" si="56"/>
        <v>0.51417527542631825</v>
      </c>
      <c r="F318" s="42">
        <v>0.5</v>
      </c>
      <c r="G318" s="43">
        <f t="shared" ca="1" si="57"/>
        <v>8.2400042513060736</v>
      </c>
      <c r="H318" s="42">
        <f t="shared" ca="1" si="58"/>
        <v>0.2558680907187072</v>
      </c>
      <c r="I318" s="42">
        <v>0.5</v>
      </c>
      <c r="J318" s="43">
        <f t="shared" ca="1" si="59"/>
        <v>4.0955973640335257</v>
      </c>
      <c r="K318" s="43">
        <f t="shared" ca="1" si="60"/>
        <v>-95.924120247334685</v>
      </c>
      <c r="L318" s="42">
        <f t="shared" si="52"/>
        <v>3.1251832809726156E-15</v>
      </c>
      <c r="M318" s="42">
        <f ca="1">K318-D318</f>
        <v>7.3496588655842743E-2</v>
      </c>
      <c r="N318" s="42">
        <f t="shared" ca="1" si="61"/>
        <v>23517529068877.273</v>
      </c>
      <c r="O318" s="42">
        <f t="shared" ca="1" si="62"/>
        <v>0</v>
      </c>
      <c r="P318" s="42">
        <f t="shared" ca="1" si="63"/>
        <v>0.6429454555487496</v>
      </c>
      <c r="Q318" s="44">
        <f ca="1">IF(M318&lt;0,G318,IF(P318&lt;O318,G318,B318))</f>
        <v>7.9829166135929137</v>
      </c>
      <c r="R318" s="44">
        <f ca="1">IF(N318&lt;0,J318,IF(P318&lt;O318,J318,C318))</f>
        <v>3.9676633186741719</v>
      </c>
      <c r="S318" s="44">
        <f t="shared" ca="1" si="64"/>
        <v>-95.997616835990527</v>
      </c>
    </row>
    <row r="319" spans="1:19" x14ac:dyDescent="0.4">
      <c r="A319" s="42">
        <v>318</v>
      </c>
      <c r="B319" s="41">
        <f t="shared" ca="1" si="53"/>
        <v>7.9829166135929137</v>
      </c>
      <c r="C319" s="41">
        <f t="shared" ca="1" si="54"/>
        <v>3.9676633186741719</v>
      </c>
      <c r="D319" s="41">
        <f t="shared" ca="1" si="55"/>
        <v>-95.997616835990527</v>
      </c>
      <c r="E319" s="42">
        <f t="shared" ca="1" si="56"/>
        <v>-0.42839480210018466</v>
      </c>
      <c r="F319" s="42">
        <v>0.5</v>
      </c>
      <c r="G319" s="43">
        <f t="shared" ca="1" si="57"/>
        <v>7.7687192125428215</v>
      </c>
      <c r="H319" s="42">
        <f t="shared" ca="1" si="58"/>
        <v>0.4099960378609806</v>
      </c>
      <c r="I319" s="42">
        <v>0.5</v>
      </c>
      <c r="J319" s="43">
        <f t="shared" ca="1" si="59"/>
        <v>4.1726613376046622</v>
      </c>
      <c r="K319" s="43">
        <f t="shared" ca="1" si="60"/>
        <v>-95.88688532234633</v>
      </c>
      <c r="L319" s="42">
        <f t="shared" si="52"/>
        <v>2.8126649528753543E-15</v>
      </c>
      <c r="M319" s="42">
        <f ca="1">K319-D319</f>
        <v>0.11073151364419687</v>
      </c>
      <c r="N319" s="42">
        <f t="shared" ca="1" si="61"/>
        <v>39368895869021.773</v>
      </c>
      <c r="O319" s="42">
        <f t="shared" ca="1" si="62"/>
        <v>0</v>
      </c>
      <c r="P319" s="42">
        <f t="shared" ca="1" si="63"/>
        <v>0.70550698619588714</v>
      </c>
      <c r="Q319" s="44">
        <f ca="1">IF(M319&lt;0,G319,IF(P319&lt;O319,G319,B319))</f>
        <v>7.9829166135929137</v>
      </c>
      <c r="R319" s="44">
        <f ca="1">IF(N319&lt;0,J319,IF(P319&lt;O319,J319,C319))</f>
        <v>3.9676633186741719</v>
      </c>
      <c r="S319" s="44">
        <f t="shared" ca="1" si="64"/>
        <v>-95.997616835990527</v>
      </c>
    </row>
    <row r="320" spans="1:19" x14ac:dyDescent="0.4">
      <c r="A320" s="42">
        <v>319</v>
      </c>
      <c r="B320" s="41">
        <f t="shared" ca="1" si="53"/>
        <v>7.9829166135929137</v>
      </c>
      <c r="C320" s="41">
        <f t="shared" ca="1" si="54"/>
        <v>3.9676633186741719</v>
      </c>
      <c r="D320" s="41">
        <f t="shared" ca="1" si="55"/>
        <v>-95.997616835990527</v>
      </c>
      <c r="E320" s="42">
        <f t="shared" ca="1" si="56"/>
        <v>-0.33172403757048685</v>
      </c>
      <c r="F320" s="42">
        <v>0.5</v>
      </c>
      <c r="G320" s="43">
        <f t="shared" ca="1" si="57"/>
        <v>7.8170545948076704</v>
      </c>
      <c r="H320" s="42">
        <f t="shared" ca="1" si="58"/>
        <v>0.43008348937187613</v>
      </c>
      <c r="I320" s="42">
        <v>0.5</v>
      </c>
      <c r="J320" s="43">
        <f t="shared" ca="1" si="59"/>
        <v>4.1827050633601104</v>
      </c>
      <c r="K320" s="43">
        <f t="shared" ca="1" si="60"/>
        <v>-95.89976869836417</v>
      </c>
      <c r="L320" s="42">
        <f t="shared" si="52"/>
        <v>2.5313984575878187E-15</v>
      </c>
      <c r="M320" s="42">
        <f ca="1">K320-D320</f>
        <v>9.7848137626357357E-2</v>
      </c>
      <c r="N320" s="42">
        <f t="shared" ca="1" si="61"/>
        <v>38653787329710.75</v>
      </c>
      <c r="O320" s="42">
        <f t="shared" ca="1" si="62"/>
        <v>0</v>
      </c>
      <c r="P320" s="42">
        <f t="shared" ca="1" si="63"/>
        <v>0.7513432454796517</v>
      </c>
      <c r="Q320" s="44">
        <f ca="1">IF(M320&lt;0,G320,IF(P320&lt;O320,G320,B320))</f>
        <v>7.9829166135929137</v>
      </c>
      <c r="R320" s="44">
        <f ca="1">IF(N320&lt;0,J320,IF(P320&lt;O320,J320,C320))</f>
        <v>3.9676633186741719</v>
      </c>
      <c r="S320" s="44">
        <f t="shared" ca="1" si="64"/>
        <v>-95.997616835990527</v>
      </c>
    </row>
    <row r="321" spans="1:19" x14ac:dyDescent="0.4">
      <c r="A321" s="42">
        <v>320</v>
      </c>
      <c r="B321" s="41">
        <f t="shared" ca="1" si="53"/>
        <v>7.9829166135929137</v>
      </c>
      <c r="C321" s="41">
        <f t="shared" ca="1" si="54"/>
        <v>3.9676633186741719</v>
      </c>
      <c r="D321" s="41">
        <f t="shared" ca="1" si="55"/>
        <v>-95.997616835990527</v>
      </c>
      <c r="E321" s="42">
        <f t="shared" ca="1" si="56"/>
        <v>0.12652981234887117</v>
      </c>
      <c r="F321" s="42">
        <v>0.5</v>
      </c>
      <c r="G321" s="43">
        <f t="shared" ca="1" si="57"/>
        <v>8.0461815197673499</v>
      </c>
      <c r="H321" s="42">
        <f t="shared" ca="1" si="58"/>
        <v>-0.52165769538555518</v>
      </c>
      <c r="I321" s="42">
        <v>0.5</v>
      </c>
      <c r="J321" s="43">
        <f t="shared" ca="1" si="59"/>
        <v>3.7068344709813941</v>
      </c>
      <c r="K321" s="43">
        <f t="shared" ca="1" si="60"/>
        <v>-95.825975212422463</v>
      </c>
      <c r="L321" s="42">
        <f t="shared" si="52"/>
        <v>2.278258611829037E-15</v>
      </c>
      <c r="M321" s="42">
        <f ca="1">K321-D321</f>
        <v>0.17164162356806401</v>
      </c>
      <c r="N321" s="42">
        <f t="shared" ca="1" si="61"/>
        <v>75338955234000.531</v>
      </c>
      <c r="O321" s="42">
        <f t="shared" ca="1" si="62"/>
        <v>0</v>
      </c>
      <c r="P321" s="42">
        <f t="shared" ca="1" si="63"/>
        <v>0.46452700669347968</v>
      </c>
      <c r="Q321" s="44">
        <f ca="1">IF(M321&lt;0,G321,IF(P321&lt;O321,G321,B321))</f>
        <v>7.9829166135929137</v>
      </c>
      <c r="R321" s="44">
        <f ca="1">IF(N321&lt;0,J321,IF(P321&lt;O321,J321,C321))</f>
        <v>3.9676633186741719</v>
      </c>
      <c r="S321" s="44">
        <f t="shared" ca="1" si="64"/>
        <v>-95.997616835990527</v>
      </c>
    </row>
    <row r="322" spans="1:19" x14ac:dyDescent="0.4">
      <c r="A322" s="42">
        <v>321</v>
      </c>
      <c r="B322" s="41">
        <f t="shared" ca="1" si="53"/>
        <v>7.9829166135929137</v>
      </c>
      <c r="C322" s="41">
        <f t="shared" ca="1" si="54"/>
        <v>3.9676633186741719</v>
      </c>
      <c r="D322" s="41">
        <f t="shared" ca="1" si="55"/>
        <v>-95.997616835990527</v>
      </c>
      <c r="E322" s="42">
        <f t="shared" ca="1" si="56"/>
        <v>-0.8340534669346491</v>
      </c>
      <c r="F322" s="42">
        <v>0.5</v>
      </c>
      <c r="G322" s="43">
        <f t="shared" ca="1" si="57"/>
        <v>7.5658898801255887</v>
      </c>
      <c r="H322" s="42">
        <f t="shared" ca="1" si="58"/>
        <v>-0.40581855190532723</v>
      </c>
      <c r="I322" s="42">
        <v>0.5</v>
      </c>
      <c r="J322" s="43">
        <f t="shared" ca="1" si="59"/>
        <v>3.764754042721508</v>
      </c>
      <c r="K322" s="43">
        <f t="shared" ca="1" si="60"/>
        <v>-95.700867082990882</v>
      </c>
      <c r="L322" s="42">
        <f t="shared" si="52"/>
        <v>2.0504327506461335E-15</v>
      </c>
      <c r="M322" s="42">
        <f ca="1">K322-D322</f>
        <v>0.29674975299964501</v>
      </c>
      <c r="N322" s="42">
        <f t="shared" ca="1" si="61"/>
        <v>144725425842975.38</v>
      </c>
      <c r="O322" s="42">
        <f t="shared" ca="1" si="62"/>
        <v>0</v>
      </c>
      <c r="P322" s="42">
        <f t="shared" ca="1" si="63"/>
        <v>0.69772425590804599</v>
      </c>
      <c r="Q322" s="44">
        <f ca="1">IF(M322&lt;0,G322,IF(P322&lt;O322,G322,B322))</f>
        <v>7.9829166135929137</v>
      </c>
      <c r="R322" s="44">
        <f ca="1">IF(N322&lt;0,J322,IF(P322&lt;O322,J322,C322))</f>
        <v>3.9676633186741719</v>
      </c>
      <c r="S322" s="44">
        <f t="shared" ca="1" si="64"/>
        <v>-95.997616835990527</v>
      </c>
    </row>
    <row r="323" spans="1:19" x14ac:dyDescent="0.4">
      <c r="A323" s="42">
        <v>322</v>
      </c>
      <c r="B323" s="41">
        <f t="shared" ca="1" si="53"/>
        <v>7.9829166135929137</v>
      </c>
      <c r="C323" s="41">
        <f t="shared" ca="1" si="54"/>
        <v>3.9676633186741719</v>
      </c>
      <c r="D323" s="41">
        <f t="shared" ca="1" si="55"/>
        <v>-95.997616835990527</v>
      </c>
      <c r="E323" s="42">
        <f t="shared" ca="1" si="56"/>
        <v>-0.2922608903381938</v>
      </c>
      <c r="F323" s="42">
        <v>0.5</v>
      </c>
      <c r="G323" s="43">
        <f t="shared" ca="1" si="57"/>
        <v>7.8367861684238171</v>
      </c>
      <c r="H323" s="42">
        <f t="shared" ca="1" si="58"/>
        <v>-0.63201194825410356</v>
      </c>
      <c r="I323" s="42">
        <v>0.5</v>
      </c>
      <c r="J323" s="43">
        <f t="shared" ca="1" si="59"/>
        <v>3.6516573445471199</v>
      </c>
      <c r="K323" s="43">
        <f t="shared" ca="1" si="60"/>
        <v>-95.73067603396629</v>
      </c>
      <c r="L323" s="42">
        <f t="shared" ref="L323:L386" si="65">(0.9^A323)*1</f>
        <v>1.8453894755815201E-15</v>
      </c>
      <c r="M323" s="42">
        <f ca="1">K323-D323</f>
        <v>0.2669408020242372</v>
      </c>
      <c r="N323" s="42">
        <f t="shared" ca="1" si="61"/>
        <v>144652825626481.19</v>
      </c>
      <c r="O323" s="42">
        <f t="shared" ca="1" si="62"/>
        <v>0</v>
      </c>
      <c r="P323" s="42">
        <f t="shared" ca="1" si="63"/>
        <v>0.85787830233531648</v>
      </c>
      <c r="Q323" s="44">
        <f ca="1">IF(M323&lt;0,G323,IF(P323&lt;O323,G323,B323))</f>
        <v>7.9829166135929137</v>
      </c>
      <c r="R323" s="44">
        <f ca="1">IF(N323&lt;0,J323,IF(P323&lt;O323,J323,C323))</f>
        <v>3.9676633186741719</v>
      </c>
      <c r="S323" s="44">
        <f t="shared" ca="1" si="64"/>
        <v>-95.997616835990527</v>
      </c>
    </row>
    <row r="324" spans="1:19" x14ac:dyDescent="0.4">
      <c r="A324" s="42">
        <v>323</v>
      </c>
      <c r="B324" s="41">
        <f t="shared" ref="B324:B387" ca="1" si="66">Q323</f>
        <v>7.9829166135929137</v>
      </c>
      <c r="C324" s="41">
        <f t="shared" ref="C324:C387" ca="1" si="67">R323</f>
        <v>3.9676633186741719</v>
      </c>
      <c r="D324" s="41">
        <f t="shared" ref="D324:D387" ca="1" si="68">S323</f>
        <v>-95.997616835990527</v>
      </c>
      <c r="E324" s="42">
        <f t="shared" ref="E324:E387" ca="1" si="69">2*(RAND()-0.5)</f>
        <v>-0.90343537933936391</v>
      </c>
      <c r="F324" s="42">
        <v>0.5</v>
      </c>
      <c r="G324" s="43">
        <f t="shared" ref="G324:G387" ca="1" si="70">B324+E324*F324</f>
        <v>7.531198923923232</v>
      </c>
      <c r="H324" s="42">
        <f t="shared" ref="H324:H387" ca="1" si="71">2*(RAND()-0.5)</f>
        <v>-0.17942837495318864</v>
      </c>
      <c r="I324" s="42">
        <v>0.5</v>
      </c>
      <c r="J324" s="43">
        <f t="shared" ref="J324:J387" ca="1" si="72">C324+H324*I324</f>
        <v>3.8779491311975773</v>
      </c>
      <c r="K324" s="43">
        <f t="shared" ref="K324:K387" ca="1" si="73">G324^2-16*G324+2*J324^2-16*J324</f>
        <v>-95.750432721918415</v>
      </c>
      <c r="L324" s="42">
        <f t="shared" si="65"/>
        <v>1.6608505280233683E-15</v>
      </c>
      <c r="M324" s="42">
        <f ca="1">K324-D324</f>
        <v>0.24718411407211249</v>
      </c>
      <c r="N324" s="42">
        <f t="shared" ref="N324:N387" ca="1" si="74">M324/L324</f>
        <v>148829837424499.78</v>
      </c>
      <c r="O324" s="42">
        <f t="shared" ref="O324:O387" ca="1" si="75">IF(M324&lt;0,1,EXP(-N324))</f>
        <v>0</v>
      </c>
      <c r="P324" s="42">
        <f t="shared" ref="P324:P387" ca="1" si="76">RAND()</f>
        <v>0.70448802340543293</v>
      </c>
      <c r="Q324" s="44">
        <f ca="1">IF(M324&lt;0,G324,IF(P324&lt;O324,G324,B324))</f>
        <v>7.9829166135929137</v>
      </c>
      <c r="R324" s="44">
        <f ca="1">IF(N324&lt;0,J324,IF(P324&lt;O324,J324,C324))</f>
        <v>3.9676633186741719</v>
      </c>
      <c r="S324" s="44">
        <f t="shared" ref="S324:S387" ca="1" si="77">Q324^2-16*Q324+2*R324^2-16*R324</f>
        <v>-95.997616835990527</v>
      </c>
    </row>
    <row r="325" spans="1:19" x14ac:dyDescent="0.4">
      <c r="A325" s="42">
        <v>324</v>
      </c>
      <c r="B325" s="41">
        <f t="shared" ca="1" si="66"/>
        <v>7.9829166135929137</v>
      </c>
      <c r="C325" s="41">
        <f t="shared" ca="1" si="67"/>
        <v>3.9676633186741719</v>
      </c>
      <c r="D325" s="41">
        <f t="shared" ca="1" si="68"/>
        <v>-95.997616835990527</v>
      </c>
      <c r="E325" s="42">
        <f t="shared" ca="1" si="69"/>
        <v>0.45654346101412036</v>
      </c>
      <c r="F325" s="42">
        <v>0.5</v>
      </c>
      <c r="G325" s="43">
        <f t="shared" ca="1" si="70"/>
        <v>8.2111883440999733</v>
      </c>
      <c r="H325" s="42">
        <f t="shared" ca="1" si="71"/>
        <v>-0.89600605049600945</v>
      </c>
      <c r="I325" s="42">
        <v>0.5</v>
      </c>
      <c r="J325" s="43">
        <f t="shared" ca="1" si="72"/>
        <v>3.5196602934261669</v>
      </c>
      <c r="K325" s="43">
        <f t="shared" ca="1" si="73"/>
        <v>-95.49394701589344</v>
      </c>
      <c r="L325" s="42">
        <f t="shared" si="65"/>
        <v>1.4947654752210316E-15</v>
      </c>
      <c r="M325" s="42">
        <f ca="1">K325-D325</f>
        <v>0.5036698200970875</v>
      </c>
      <c r="N325" s="42">
        <f t="shared" ca="1" si="74"/>
        <v>336955748875996.5</v>
      </c>
      <c r="O325" s="42">
        <f t="shared" ca="1" si="75"/>
        <v>0</v>
      </c>
      <c r="P325" s="42">
        <f t="shared" ca="1" si="76"/>
        <v>0.44185903000139615</v>
      </c>
      <c r="Q325" s="44">
        <f ca="1">IF(M325&lt;0,G325,IF(P325&lt;O325,G325,B325))</f>
        <v>7.9829166135929137</v>
      </c>
      <c r="R325" s="44">
        <f ca="1">IF(N325&lt;0,J325,IF(P325&lt;O325,J325,C325))</f>
        <v>3.9676633186741719</v>
      </c>
      <c r="S325" s="44">
        <f t="shared" ca="1" si="77"/>
        <v>-95.997616835990527</v>
      </c>
    </row>
    <row r="326" spans="1:19" x14ac:dyDescent="0.4">
      <c r="A326" s="42">
        <v>325</v>
      </c>
      <c r="B326" s="41">
        <f t="shared" ca="1" si="66"/>
        <v>7.9829166135929137</v>
      </c>
      <c r="C326" s="41">
        <f t="shared" ca="1" si="67"/>
        <v>3.9676633186741719</v>
      </c>
      <c r="D326" s="41">
        <f t="shared" ca="1" si="68"/>
        <v>-95.997616835990527</v>
      </c>
      <c r="E326" s="42">
        <f t="shared" ca="1" si="69"/>
        <v>-0.95464177046762666</v>
      </c>
      <c r="F326" s="42">
        <v>0.5</v>
      </c>
      <c r="G326" s="43">
        <f t="shared" ca="1" si="70"/>
        <v>7.5055957283591006</v>
      </c>
      <c r="H326" s="42">
        <f t="shared" ca="1" si="71"/>
        <v>0.21318482052532794</v>
      </c>
      <c r="I326" s="42">
        <v>0.5</v>
      </c>
      <c r="J326" s="43">
        <f t="shared" ca="1" si="72"/>
        <v>4.0742557289368362</v>
      </c>
      <c r="K326" s="43">
        <f t="shared" ca="1" si="73"/>
        <v>-95.744536589623351</v>
      </c>
      <c r="L326" s="42">
        <f t="shared" si="65"/>
        <v>1.3452889276989284E-15</v>
      </c>
      <c r="M326" s="42">
        <f ca="1">K326-D326</f>
        <v>0.25308024636717619</v>
      </c>
      <c r="N326" s="42">
        <f t="shared" ca="1" si="74"/>
        <v>188123340017420.25</v>
      </c>
      <c r="O326" s="42">
        <f t="shared" ca="1" si="75"/>
        <v>0</v>
      </c>
      <c r="P326" s="42">
        <f t="shared" ca="1" si="76"/>
        <v>0.71298178703462411</v>
      </c>
      <c r="Q326" s="44">
        <f ca="1">IF(M326&lt;0,G326,IF(P326&lt;O326,G326,B326))</f>
        <v>7.9829166135929137</v>
      </c>
      <c r="R326" s="44">
        <f ca="1">IF(N326&lt;0,J326,IF(P326&lt;O326,J326,C326))</f>
        <v>3.9676633186741719</v>
      </c>
      <c r="S326" s="44">
        <f t="shared" ca="1" si="77"/>
        <v>-95.997616835990527</v>
      </c>
    </row>
    <row r="327" spans="1:19" x14ac:dyDescent="0.4">
      <c r="A327" s="42">
        <v>326</v>
      </c>
      <c r="B327" s="41">
        <f t="shared" ca="1" si="66"/>
        <v>7.9829166135929137</v>
      </c>
      <c r="C327" s="41">
        <f t="shared" ca="1" si="67"/>
        <v>3.9676633186741719</v>
      </c>
      <c r="D327" s="41">
        <f t="shared" ca="1" si="68"/>
        <v>-95.997616835990527</v>
      </c>
      <c r="E327" s="42">
        <f t="shared" ca="1" si="69"/>
        <v>0.53012653166297441</v>
      </c>
      <c r="F327" s="42">
        <v>0.5</v>
      </c>
      <c r="G327" s="43">
        <f t="shared" ca="1" si="70"/>
        <v>8.2479798794244008</v>
      </c>
      <c r="H327" s="42">
        <f t="shared" ca="1" si="71"/>
        <v>-0.9391541718400529</v>
      </c>
      <c r="I327" s="42">
        <v>0.5</v>
      </c>
      <c r="J327" s="43">
        <f t="shared" ca="1" si="72"/>
        <v>3.4980862327541455</v>
      </c>
      <c r="K327" s="43">
        <f t="shared" ca="1" si="73"/>
        <v>-95.434671119898809</v>
      </c>
      <c r="L327" s="42">
        <f t="shared" si="65"/>
        <v>1.2107600349290356E-15</v>
      </c>
      <c r="M327" s="42">
        <f ca="1">K327-D327</f>
        <v>0.5629457160917184</v>
      </c>
      <c r="N327" s="42">
        <f t="shared" ca="1" si="74"/>
        <v>464952343859543.94</v>
      </c>
      <c r="O327" s="42">
        <f t="shared" ca="1" si="75"/>
        <v>0</v>
      </c>
      <c r="P327" s="42">
        <f t="shared" ca="1" si="76"/>
        <v>0.13099362509789036</v>
      </c>
      <c r="Q327" s="44">
        <f ca="1">IF(M327&lt;0,G327,IF(P327&lt;O327,G327,B327))</f>
        <v>7.9829166135929137</v>
      </c>
      <c r="R327" s="44">
        <f ca="1">IF(N327&lt;0,J327,IF(P327&lt;O327,J327,C327))</f>
        <v>3.9676633186741719</v>
      </c>
      <c r="S327" s="44">
        <f t="shared" ca="1" si="77"/>
        <v>-95.997616835990527</v>
      </c>
    </row>
    <row r="328" spans="1:19" x14ac:dyDescent="0.4">
      <c r="A328" s="42">
        <v>327</v>
      </c>
      <c r="B328" s="41">
        <f t="shared" ca="1" si="66"/>
        <v>7.9829166135929137</v>
      </c>
      <c r="C328" s="41">
        <f t="shared" ca="1" si="67"/>
        <v>3.9676633186741719</v>
      </c>
      <c r="D328" s="41">
        <f t="shared" ca="1" si="68"/>
        <v>-95.997616835990527</v>
      </c>
      <c r="E328" s="42">
        <f t="shared" ca="1" si="69"/>
        <v>-0.5478450802018886</v>
      </c>
      <c r="F328" s="42">
        <v>0.5</v>
      </c>
      <c r="G328" s="43">
        <f t="shared" ca="1" si="70"/>
        <v>7.7089940734919695</v>
      </c>
      <c r="H328" s="42">
        <f t="shared" ca="1" si="71"/>
        <v>-0.27375345168330734</v>
      </c>
      <c r="I328" s="42">
        <v>0.5</v>
      </c>
      <c r="J328" s="43">
        <f t="shared" ca="1" si="72"/>
        <v>3.830786592832518</v>
      </c>
      <c r="K328" s="43">
        <f t="shared" ca="1" si="73"/>
        <v>-95.858049196406753</v>
      </c>
      <c r="L328" s="42">
        <f t="shared" si="65"/>
        <v>1.089684031436132E-15</v>
      </c>
      <c r="M328" s="42">
        <f ca="1">K328-D328</f>
        <v>0.13956763958377394</v>
      </c>
      <c r="N328" s="42">
        <f t="shared" ca="1" si="74"/>
        <v>128080834037581.48</v>
      </c>
      <c r="O328" s="42">
        <f t="shared" ca="1" si="75"/>
        <v>0</v>
      </c>
      <c r="P328" s="42">
        <f t="shared" ca="1" si="76"/>
        <v>0.9947373077747601</v>
      </c>
      <c r="Q328" s="44">
        <f ca="1">IF(M328&lt;0,G328,IF(P328&lt;O328,G328,B328))</f>
        <v>7.9829166135929137</v>
      </c>
      <c r="R328" s="44">
        <f ca="1">IF(N328&lt;0,J328,IF(P328&lt;O328,J328,C328))</f>
        <v>3.9676633186741719</v>
      </c>
      <c r="S328" s="44">
        <f t="shared" ca="1" si="77"/>
        <v>-95.997616835990527</v>
      </c>
    </row>
    <row r="329" spans="1:19" x14ac:dyDescent="0.4">
      <c r="A329" s="42">
        <v>328</v>
      </c>
      <c r="B329" s="41">
        <f t="shared" ca="1" si="66"/>
        <v>7.9829166135929137</v>
      </c>
      <c r="C329" s="41">
        <f t="shared" ca="1" si="67"/>
        <v>3.9676633186741719</v>
      </c>
      <c r="D329" s="41">
        <f t="shared" ca="1" si="68"/>
        <v>-95.997616835990527</v>
      </c>
      <c r="E329" s="42">
        <f t="shared" ca="1" si="69"/>
        <v>0.38745638869398458</v>
      </c>
      <c r="F329" s="42">
        <v>0.5</v>
      </c>
      <c r="G329" s="43">
        <f t="shared" ca="1" si="70"/>
        <v>8.1766448079399066</v>
      </c>
      <c r="H329" s="42">
        <f t="shared" ca="1" si="71"/>
        <v>0.9405932710251137</v>
      </c>
      <c r="I329" s="42">
        <v>0.5</v>
      </c>
      <c r="J329" s="43">
        <f t="shared" ca="1" si="72"/>
        <v>4.437959954186729</v>
      </c>
      <c r="K329" s="43">
        <f t="shared" ca="1" si="73"/>
        <v>-95.585178768885385</v>
      </c>
      <c r="L329" s="42">
        <f t="shared" si="65"/>
        <v>9.8071562829251894E-16</v>
      </c>
      <c r="M329" s="42">
        <f ca="1">K329-D329</f>
        <v>0.41243806710514264</v>
      </c>
      <c r="N329" s="42">
        <f t="shared" ca="1" si="74"/>
        <v>420548072455234.06</v>
      </c>
      <c r="O329" s="42">
        <f t="shared" ca="1" si="75"/>
        <v>0</v>
      </c>
      <c r="P329" s="42">
        <f t="shared" ca="1" si="76"/>
        <v>0.41024468681738868</v>
      </c>
      <c r="Q329" s="44">
        <f ca="1">IF(M329&lt;0,G329,IF(P329&lt;O329,G329,B329))</f>
        <v>7.9829166135929137</v>
      </c>
      <c r="R329" s="44">
        <f ca="1">IF(N329&lt;0,J329,IF(P329&lt;O329,J329,C329))</f>
        <v>3.9676633186741719</v>
      </c>
      <c r="S329" s="44">
        <f t="shared" ca="1" si="77"/>
        <v>-95.997616835990527</v>
      </c>
    </row>
    <row r="330" spans="1:19" x14ac:dyDescent="0.4">
      <c r="A330" s="42">
        <v>329</v>
      </c>
      <c r="B330" s="41">
        <f t="shared" ca="1" si="66"/>
        <v>7.9829166135929137</v>
      </c>
      <c r="C330" s="41">
        <f t="shared" ca="1" si="67"/>
        <v>3.9676633186741719</v>
      </c>
      <c r="D330" s="41">
        <f t="shared" ca="1" si="68"/>
        <v>-95.997616835990527</v>
      </c>
      <c r="E330" s="42">
        <f t="shared" ca="1" si="69"/>
        <v>0.46906306139112908</v>
      </c>
      <c r="F330" s="42">
        <v>0.5</v>
      </c>
      <c r="G330" s="43">
        <f t="shared" ca="1" si="70"/>
        <v>8.217448144288479</v>
      </c>
      <c r="H330" s="42">
        <f t="shared" ca="1" si="71"/>
        <v>-0.87151638263431219</v>
      </c>
      <c r="I330" s="42">
        <v>0.5</v>
      </c>
      <c r="J330" s="43">
        <f t="shared" ca="1" si="72"/>
        <v>3.5319051273570157</v>
      </c>
      <c r="K330" s="43">
        <f t="shared" ca="1" si="73"/>
        <v>-95.514490684956186</v>
      </c>
      <c r="L330" s="42">
        <f t="shared" si="65"/>
        <v>8.8264406546326708E-16</v>
      </c>
      <c r="M330" s="42">
        <f ca="1">K330-D330</f>
        <v>0.48312615103434098</v>
      </c>
      <c r="N330" s="42">
        <f t="shared" ca="1" si="74"/>
        <v>547362373960749.44</v>
      </c>
      <c r="O330" s="42">
        <f t="shared" ca="1" si="75"/>
        <v>0</v>
      </c>
      <c r="P330" s="42">
        <f t="shared" ca="1" si="76"/>
        <v>0.48971569364076728</v>
      </c>
      <c r="Q330" s="44">
        <f ca="1">IF(M330&lt;0,G330,IF(P330&lt;O330,G330,B330))</f>
        <v>7.9829166135929137</v>
      </c>
      <c r="R330" s="44">
        <f ca="1">IF(N330&lt;0,J330,IF(P330&lt;O330,J330,C330))</f>
        <v>3.9676633186741719</v>
      </c>
      <c r="S330" s="44">
        <f t="shared" ca="1" si="77"/>
        <v>-95.997616835990527</v>
      </c>
    </row>
    <row r="331" spans="1:19" x14ac:dyDescent="0.4">
      <c r="A331" s="42">
        <v>330</v>
      </c>
      <c r="B331" s="41">
        <f t="shared" ca="1" si="66"/>
        <v>7.9829166135929137</v>
      </c>
      <c r="C331" s="41">
        <f t="shared" ca="1" si="67"/>
        <v>3.9676633186741719</v>
      </c>
      <c r="D331" s="41">
        <f t="shared" ca="1" si="68"/>
        <v>-95.997616835990527</v>
      </c>
      <c r="E331" s="42">
        <f t="shared" ca="1" si="69"/>
        <v>-0.92057052669996176</v>
      </c>
      <c r="F331" s="42">
        <v>0.5</v>
      </c>
      <c r="G331" s="43">
        <f t="shared" ca="1" si="70"/>
        <v>7.5226313502429329</v>
      </c>
      <c r="H331" s="42">
        <f t="shared" ca="1" si="71"/>
        <v>-0.51032064655986487</v>
      </c>
      <c r="I331" s="42">
        <v>0.5</v>
      </c>
      <c r="J331" s="43">
        <f t="shared" ca="1" si="72"/>
        <v>3.7125029953942397</v>
      </c>
      <c r="K331" s="43">
        <f t="shared" ca="1" si="73"/>
        <v>-95.606810116914545</v>
      </c>
      <c r="L331" s="42">
        <f t="shared" si="65"/>
        <v>7.9437965891694048E-16</v>
      </c>
      <c r="M331" s="42">
        <f ca="1">K331-D331</f>
        <v>0.3908067190759823</v>
      </c>
      <c r="N331" s="42">
        <f t="shared" ca="1" si="74"/>
        <v>491964660334844.56</v>
      </c>
      <c r="O331" s="42">
        <f t="shared" ca="1" si="75"/>
        <v>0</v>
      </c>
      <c r="P331" s="42">
        <f t="shared" ca="1" si="76"/>
        <v>9.5423871301933749E-2</v>
      </c>
      <c r="Q331" s="44">
        <f ca="1">IF(M331&lt;0,G331,IF(P331&lt;O331,G331,B331))</f>
        <v>7.9829166135929137</v>
      </c>
      <c r="R331" s="44">
        <f ca="1">IF(N331&lt;0,J331,IF(P331&lt;O331,J331,C331))</f>
        <v>3.9676633186741719</v>
      </c>
      <c r="S331" s="44">
        <f t="shared" ca="1" si="77"/>
        <v>-95.997616835990527</v>
      </c>
    </row>
    <row r="332" spans="1:19" x14ac:dyDescent="0.4">
      <c r="A332" s="42">
        <v>331</v>
      </c>
      <c r="B332" s="41">
        <f t="shared" ca="1" si="66"/>
        <v>7.9829166135929137</v>
      </c>
      <c r="C332" s="41">
        <f t="shared" ca="1" si="67"/>
        <v>3.9676633186741719</v>
      </c>
      <c r="D332" s="41">
        <f t="shared" ca="1" si="68"/>
        <v>-95.997616835990527</v>
      </c>
      <c r="E332" s="42">
        <f t="shared" ca="1" si="69"/>
        <v>0.47968580765845337</v>
      </c>
      <c r="F332" s="42">
        <v>0.5</v>
      </c>
      <c r="G332" s="43">
        <f t="shared" ca="1" si="70"/>
        <v>8.2227595174221406</v>
      </c>
      <c r="H332" s="42">
        <f t="shared" ca="1" si="71"/>
        <v>-0.45463244105687117</v>
      </c>
      <c r="I332" s="42">
        <v>0.5</v>
      </c>
      <c r="J332" s="43">
        <f t="shared" ca="1" si="72"/>
        <v>3.7403470981457363</v>
      </c>
      <c r="K332" s="43">
        <f t="shared" ca="1" si="73"/>
        <v>-95.815538938515175</v>
      </c>
      <c r="L332" s="42">
        <f t="shared" si="65"/>
        <v>7.149416930252465E-16</v>
      </c>
      <c r="M332" s="42">
        <f ca="1">K332-D332</f>
        <v>0.1820778974753523</v>
      </c>
      <c r="N332" s="42">
        <f t="shared" ca="1" si="74"/>
        <v>254675170369344.56</v>
      </c>
      <c r="O332" s="42">
        <f t="shared" ca="1" si="75"/>
        <v>0</v>
      </c>
      <c r="P332" s="42">
        <f t="shared" ca="1" si="76"/>
        <v>0.91579493180883931</v>
      </c>
      <c r="Q332" s="44">
        <f ca="1">IF(M332&lt;0,G332,IF(P332&lt;O332,G332,B332))</f>
        <v>7.9829166135929137</v>
      </c>
      <c r="R332" s="44">
        <f ca="1">IF(N332&lt;0,J332,IF(P332&lt;O332,J332,C332))</f>
        <v>3.9676633186741719</v>
      </c>
      <c r="S332" s="44">
        <f t="shared" ca="1" si="77"/>
        <v>-95.997616835990527</v>
      </c>
    </row>
    <row r="333" spans="1:19" x14ac:dyDescent="0.4">
      <c r="A333" s="42">
        <v>332</v>
      </c>
      <c r="B333" s="41">
        <f t="shared" ca="1" si="66"/>
        <v>7.9829166135929137</v>
      </c>
      <c r="C333" s="41">
        <f t="shared" ca="1" si="67"/>
        <v>3.9676633186741719</v>
      </c>
      <c r="D333" s="41">
        <f t="shared" ca="1" si="68"/>
        <v>-95.997616835990527</v>
      </c>
      <c r="E333" s="42">
        <f t="shared" ca="1" si="69"/>
        <v>0.48164401325005946</v>
      </c>
      <c r="F333" s="42">
        <v>0.5</v>
      </c>
      <c r="G333" s="43">
        <f t="shared" ca="1" si="70"/>
        <v>8.2237386202179437</v>
      </c>
      <c r="H333" s="42">
        <f t="shared" ca="1" si="71"/>
        <v>-0.51276748129941807</v>
      </c>
      <c r="I333" s="42">
        <v>0.5</v>
      </c>
      <c r="J333" s="43">
        <f t="shared" ca="1" si="72"/>
        <v>3.7112795780244627</v>
      </c>
      <c r="K333" s="43">
        <f t="shared" ca="1" si="73"/>
        <v>-95.78322206569149</v>
      </c>
      <c r="L333" s="42">
        <f t="shared" si="65"/>
        <v>6.4344752372272187E-16</v>
      </c>
      <c r="M333" s="42">
        <f ca="1">K333-D333</f>
        <v>0.21439477029903742</v>
      </c>
      <c r="N333" s="42">
        <f t="shared" ca="1" si="74"/>
        <v>333196977833775.38</v>
      </c>
      <c r="O333" s="42">
        <f t="shared" ca="1" si="75"/>
        <v>0</v>
      </c>
      <c r="P333" s="42">
        <f t="shared" ca="1" si="76"/>
        <v>0.21634867261714907</v>
      </c>
      <c r="Q333" s="44">
        <f ca="1">IF(M333&lt;0,G333,IF(P333&lt;O333,G333,B333))</f>
        <v>7.9829166135929137</v>
      </c>
      <c r="R333" s="44">
        <f ca="1">IF(N333&lt;0,J333,IF(P333&lt;O333,J333,C333))</f>
        <v>3.9676633186741719</v>
      </c>
      <c r="S333" s="44">
        <f t="shared" ca="1" si="77"/>
        <v>-95.997616835990527</v>
      </c>
    </row>
    <row r="334" spans="1:19" x14ac:dyDescent="0.4">
      <c r="A334" s="42">
        <v>333</v>
      </c>
      <c r="B334" s="41">
        <f t="shared" ca="1" si="66"/>
        <v>7.9829166135929137</v>
      </c>
      <c r="C334" s="41">
        <f t="shared" ca="1" si="67"/>
        <v>3.9676633186741719</v>
      </c>
      <c r="D334" s="41">
        <f t="shared" ca="1" si="68"/>
        <v>-95.997616835990527</v>
      </c>
      <c r="E334" s="42">
        <f t="shared" ca="1" si="69"/>
        <v>0.60552418566280219</v>
      </c>
      <c r="F334" s="42">
        <v>0.5</v>
      </c>
      <c r="G334" s="43">
        <f t="shared" ca="1" si="70"/>
        <v>8.2856787064243154</v>
      </c>
      <c r="H334" s="42">
        <f t="shared" ca="1" si="71"/>
        <v>-0.91742975122374282</v>
      </c>
      <c r="I334" s="42">
        <v>0.5</v>
      </c>
      <c r="J334" s="43">
        <f t="shared" ca="1" si="72"/>
        <v>3.5089484430623004</v>
      </c>
      <c r="K334" s="43">
        <f t="shared" ca="1" si="73"/>
        <v>-95.436124413553841</v>
      </c>
      <c r="L334" s="42">
        <f t="shared" si="65"/>
        <v>5.7910277135044968E-16</v>
      </c>
      <c r="M334" s="42">
        <f ca="1">K334-D334</f>
        <v>0.56149242243668596</v>
      </c>
      <c r="N334" s="42">
        <f t="shared" ca="1" si="74"/>
        <v>969590287277166.88</v>
      </c>
      <c r="O334" s="42">
        <f t="shared" ca="1" si="75"/>
        <v>0</v>
      </c>
      <c r="P334" s="42">
        <f t="shared" ca="1" si="76"/>
        <v>0.45811865409083774</v>
      </c>
      <c r="Q334" s="44">
        <f ca="1">IF(M334&lt;0,G334,IF(P334&lt;O334,G334,B334))</f>
        <v>7.9829166135929137</v>
      </c>
      <c r="R334" s="44">
        <f ca="1">IF(N334&lt;0,J334,IF(P334&lt;O334,J334,C334))</f>
        <v>3.9676633186741719</v>
      </c>
      <c r="S334" s="44">
        <f t="shared" ca="1" si="77"/>
        <v>-95.997616835990527</v>
      </c>
    </row>
    <row r="335" spans="1:19" x14ac:dyDescent="0.4">
      <c r="A335" s="42">
        <v>334</v>
      </c>
      <c r="B335" s="41">
        <f t="shared" ca="1" si="66"/>
        <v>7.9829166135929137</v>
      </c>
      <c r="C335" s="41">
        <f t="shared" ca="1" si="67"/>
        <v>3.9676633186741719</v>
      </c>
      <c r="D335" s="41">
        <f t="shared" ca="1" si="68"/>
        <v>-95.997616835990527</v>
      </c>
      <c r="E335" s="42">
        <f t="shared" ca="1" si="69"/>
        <v>0.17225353865760784</v>
      </c>
      <c r="F335" s="42">
        <v>0.5</v>
      </c>
      <c r="G335" s="43">
        <f t="shared" ca="1" si="70"/>
        <v>8.0690433829217181</v>
      </c>
      <c r="H335" s="42">
        <f t="shared" ca="1" si="71"/>
        <v>-0.95330424872087649</v>
      </c>
      <c r="I335" s="42">
        <v>0.5</v>
      </c>
      <c r="J335" s="43">
        <f t="shared" ca="1" si="72"/>
        <v>3.4910111943137334</v>
      </c>
      <c r="K335" s="43">
        <f t="shared" ca="1" si="73"/>
        <v>-95.477093802646863</v>
      </c>
      <c r="L335" s="42">
        <f t="shared" si="65"/>
        <v>5.211924942154047E-16</v>
      </c>
      <c r="M335" s="42">
        <f ca="1">K335-D335</f>
        <v>0.52052303334366457</v>
      </c>
      <c r="N335" s="42">
        <f t="shared" ca="1" si="74"/>
        <v>998715520888788</v>
      </c>
      <c r="O335" s="42">
        <f t="shared" ca="1" si="75"/>
        <v>0</v>
      </c>
      <c r="P335" s="42">
        <f t="shared" ca="1" si="76"/>
        <v>0.24111790377110776</v>
      </c>
      <c r="Q335" s="44">
        <f ca="1">IF(M335&lt;0,G335,IF(P335&lt;O335,G335,B335))</f>
        <v>7.9829166135929137</v>
      </c>
      <c r="R335" s="44">
        <f ca="1">IF(N335&lt;0,J335,IF(P335&lt;O335,J335,C335))</f>
        <v>3.9676633186741719</v>
      </c>
      <c r="S335" s="44">
        <f t="shared" ca="1" si="77"/>
        <v>-95.997616835990527</v>
      </c>
    </row>
    <row r="336" spans="1:19" x14ac:dyDescent="0.4">
      <c r="A336" s="42">
        <v>335</v>
      </c>
      <c r="B336" s="41">
        <f t="shared" ca="1" si="66"/>
        <v>7.9829166135929137</v>
      </c>
      <c r="C336" s="41">
        <f t="shared" ca="1" si="67"/>
        <v>3.9676633186741719</v>
      </c>
      <c r="D336" s="41">
        <f t="shared" ca="1" si="68"/>
        <v>-95.997616835990527</v>
      </c>
      <c r="E336" s="42">
        <f t="shared" ca="1" si="69"/>
        <v>0.80601352236457036</v>
      </c>
      <c r="F336" s="42">
        <v>0.5</v>
      </c>
      <c r="G336" s="43">
        <f t="shared" ca="1" si="70"/>
        <v>8.3859233747751993</v>
      </c>
      <c r="H336" s="42">
        <f t="shared" ca="1" si="71"/>
        <v>-3.4405595919544396E-3</v>
      </c>
      <c r="I336" s="42">
        <v>0.5</v>
      </c>
      <c r="J336" s="43">
        <f t="shared" ca="1" si="72"/>
        <v>3.9659430388781947</v>
      </c>
      <c r="K336" s="43">
        <f t="shared" ca="1" si="73"/>
        <v>-95.848743395600422</v>
      </c>
      <c r="L336" s="42">
        <f t="shared" si="65"/>
        <v>4.6907324479386429E-16</v>
      </c>
      <c r="M336" s="42">
        <f ca="1">K336-D336</f>
        <v>0.14887344039010486</v>
      </c>
      <c r="N336" s="42">
        <f t="shared" ca="1" si="74"/>
        <v>317377812617574.81</v>
      </c>
      <c r="O336" s="42">
        <f t="shared" ca="1" si="75"/>
        <v>0</v>
      </c>
      <c r="P336" s="42">
        <f t="shared" ca="1" si="76"/>
        <v>0.55837662693917167</v>
      </c>
      <c r="Q336" s="44">
        <f ca="1">IF(M336&lt;0,G336,IF(P336&lt;O336,G336,B336))</f>
        <v>7.9829166135929137</v>
      </c>
      <c r="R336" s="44">
        <f ca="1">IF(N336&lt;0,J336,IF(P336&lt;O336,J336,C336))</f>
        <v>3.9676633186741719</v>
      </c>
      <c r="S336" s="44">
        <f t="shared" ca="1" si="77"/>
        <v>-95.997616835990527</v>
      </c>
    </row>
    <row r="337" spans="1:19" x14ac:dyDescent="0.4">
      <c r="A337" s="42">
        <v>336</v>
      </c>
      <c r="B337" s="41">
        <f t="shared" ca="1" si="66"/>
        <v>7.9829166135929137</v>
      </c>
      <c r="C337" s="41">
        <f t="shared" ca="1" si="67"/>
        <v>3.9676633186741719</v>
      </c>
      <c r="D337" s="41">
        <f t="shared" ca="1" si="68"/>
        <v>-95.997616835990527</v>
      </c>
      <c r="E337" s="42">
        <f t="shared" ca="1" si="69"/>
        <v>0.76484544877305449</v>
      </c>
      <c r="F337" s="42">
        <v>0.5</v>
      </c>
      <c r="G337" s="43">
        <f t="shared" ca="1" si="70"/>
        <v>8.3653393379794405</v>
      </c>
      <c r="H337" s="42">
        <f t="shared" ca="1" si="71"/>
        <v>-0.71436995821647287</v>
      </c>
      <c r="I337" s="42">
        <v>0.5</v>
      </c>
      <c r="J337" s="43">
        <f t="shared" ca="1" si="72"/>
        <v>3.6104783395659354</v>
      </c>
      <c r="K337" s="43">
        <f t="shared" ca="1" si="73"/>
        <v>-95.563072920230127</v>
      </c>
      <c r="L337" s="42">
        <f t="shared" si="65"/>
        <v>4.2216592031447788E-16</v>
      </c>
      <c r="M337" s="42">
        <f ca="1">K337-D337</f>
        <v>0.43454391576040052</v>
      </c>
      <c r="N337" s="42">
        <f t="shared" ca="1" si="74"/>
        <v>1029320214755142</v>
      </c>
      <c r="O337" s="42">
        <f t="shared" ca="1" si="75"/>
        <v>0</v>
      </c>
      <c r="P337" s="42">
        <f t="shared" ca="1" si="76"/>
        <v>0.12129345831660576</v>
      </c>
      <c r="Q337" s="44">
        <f ca="1">IF(M337&lt;0,G337,IF(P337&lt;O337,G337,B337))</f>
        <v>7.9829166135929137</v>
      </c>
      <c r="R337" s="44">
        <f ca="1">IF(N337&lt;0,J337,IF(P337&lt;O337,J337,C337))</f>
        <v>3.9676633186741719</v>
      </c>
      <c r="S337" s="44">
        <f t="shared" ca="1" si="77"/>
        <v>-95.997616835990527</v>
      </c>
    </row>
    <row r="338" spans="1:19" x14ac:dyDescent="0.4">
      <c r="A338" s="42">
        <v>337</v>
      </c>
      <c r="B338" s="41">
        <f t="shared" ca="1" si="66"/>
        <v>7.9829166135929137</v>
      </c>
      <c r="C338" s="41">
        <f t="shared" ca="1" si="67"/>
        <v>3.9676633186741719</v>
      </c>
      <c r="D338" s="41">
        <f t="shared" ca="1" si="68"/>
        <v>-95.997616835990527</v>
      </c>
      <c r="E338" s="42">
        <f t="shared" ca="1" si="69"/>
        <v>0.67207485425189439</v>
      </c>
      <c r="F338" s="42">
        <v>0.5</v>
      </c>
      <c r="G338" s="43">
        <f t="shared" ca="1" si="70"/>
        <v>8.3189540407188609</v>
      </c>
      <c r="H338" s="42">
        <f t="shared" ca="1" si="71"/>
        <v>0.95903066589082719</v>
      </c>
      <c r="I338" s="42">
        <v>0.5</v>
      </c>
      <c r="J338" s="43">
        <f t="shared" ca="1" si="72"/>
        <v>4.4471786516195859</v>
      </c>
      <c r="K338" s="43">
        <f t="shared" ca="1" si="73"/>
        <v>-95.498330826980492</v>
      </c>
      <c r="L338" s="42">
        <f t="shared" si="65"/>
        <v>3.799493282830301E-16</v>
      </c>
      <c r="M338" s="42">
        <f ca="1">K338-D338</f>
        <v>0.49928600901003506</v>
      </c>
      <c r="N338" s="42">
        <f t="shared" ca="1" si="74"/>
        <v>1314085778928155.5</v>
      </c>
      <c r="O338" s="42">
        <f t="shared" ca="1" si="75"/>
        <v>0</v>
      </c>
      <c r="P338" s="42">
        <f t="shared" ca="1" si="76"/>
        <v>0.41239285274994542</v>
      </c>
      <c r="Q338" s="44">
        <f ca="1">IF(M338&lt;0,G338,IF(P338&lt;O338,G338,B338))</f>
        <v>7.9829166135929137</v>
      </c>
      <c r="R338" s="44">
        <f ca="1">IF(N338&lt;0,J338,IF(P338&lt;O338,J338,C338))</f>
        <v>3.9676633186741719</v>
      </c>
      <c r="S338" s="44">
        <f t="shared" ca="1" si="77"/>
        <v>-95.997616835990527</v>
      </c>
    </row>
    <row r="339" spans="1:19" x14ac:dyDescent="0.4">
      <c r="A339" s="42">
        <v>338</v>
      </c>
      <c r="B339" s="41">
        <f t="shared" ca="1" si="66"/>
        <v>7.9829166135929137</v>
      </c>
      <c r="C339" s="41">
        <f t="shared" ca="1" si="67"/>
        <v>3.9676633186741719</v>
      </c>
      <c r="D339" s="41">
        <f t="shared" ca="1" si="68"/>
        <v>-95.997616835990527</v>
      </c>
      <c r="E339" s="42">
        <f t="shared" ca="1" si="69"/>
        <v>-0.55393611032781909</v>
      </c>
      <c r="F339" s="42">
        <v>0.5</v>
      </c>
      <c r="G339" s="43">
        <f t="shared" ca="1" si="70"/>
        <v>7.7059485584290037</v>
      </c>
      <c r="H339" s="42">
        <f t="shared" ca="1" si="71"/>
        <v>0.75959354570939808</v>
      </c>
      <c r="I339" s="42">
        <v>0.5</v>
      </c>
      <c r="J339" s="43">
        <f t="shared" ca="1" si="72"/>
        <v>4.3474600915288706</v>
      </c>
      <c r="K339" s="43">
        <f t="shared" ca="1" si="73"/>
        <v>-95.672076719299525</v>
      </c>
      <c r="L339" s="42">
        <f t="shared" si="65"/>
        <v>3.419543954547271E-16</v>
      </c>
      <c r="M339" s="42">
        <f ca="1">K339-D339</f>
        <v>0.32554011669100191</v>
      </c>
      <c r="N339" s="42">
        <f t="shared" ca="1" si="74"/>
        <v>951998632034258.13</v>
      </c>
      <c r="O339" s="42">
        <f t="shared" ca="1" si="75"/>
        <v>0</v>
      </c>
      <c r="P339" s="42">
        <f t="shared" ca="1" si="76"/>
        <v>3.7171466839643674E-2</v>
      </c>
      <c r="Q339" s="44">
        <f ca="1">IF(M339&lt;0,G339,IF(P339&lt;O339,G339,B339))</f>
        <v>7.9829166135929137</v>
      </c>
      <c r="R339" s="44">
        <f ca="1">IF(N339&lt;0,J339,IF(P339&lt;O339,J339,C339))</f>
        <v>3.9676633186741719</v>
      </c>
      <c r="S339" s="44">
        <f t="shared" ca="1" si="77"/>
        <v>-95.997616835990527</v>
      </c>
    </row>
    <row r="340" spans="1:19" x14ac:dyDescent="0.4">
      <c r="A340" s="42">
        <v>339</v>
      </c>
      <c r="B340" s="41">
        <f t="shared" ca="1" si="66"/>
        <v>7.9829166135929137</v>
      </c>
      <c r="C340" s="41">
        <f t="shared" ca="1" si="67"/>
        <v>3.9676633186741719</v>
      </c>
      <c r="D340" s="41">
        <f t="shared" ca="1" si="68"/>
        <v>-95.997616835990527</v>
      </c>
      <c r="E340" s="42">
        <f t="shared" ca="1" si="69"/>
        <v>-0.43162973812270855</v>
      </c>
      <c r="F340" s="42">
        <v>0.5</v>
      </c>
      <c r="G340" s="43">
        <f t="shared" ca="1" si="70"/>
        <v>7.7671017445315593</v>
      </c>
      <c r="H340" s="42">
        <f t="shared" ca="1" si="71"/>
        <v>0.56932904439649956</v>
      </c>
      <c r="I340" s="42">
        <v>0.5</v>
      </c>
      <c r="J340" s="43">
        <f t="shared" ca="1" si="72"/>
        <v>4.2523278408724217</v>
      </c>
      <c r="K340" s="43">
        <f t="shared" ca="1" si="73"/>
        <v>-95.818419724041078</v>
      </c>
      <c r="L340" s="42">
        <f t="shared" si="65"/>
        <v>3.0775895590925443E-16</v>
      </c>
      <c r="M340" s="42">
        <f ca="1">K340-D340</f>
        <v>0.17919711194944909</v>
      </c>
      <c r="N340" s="42">
        <f t="shared" ca="1" si="74"/>
        <v>582264491442734.88</v>
      </c>
      <c r="O340" s="42">
        <f t="shared" ca="1" si="75"/>
        <v>0</v>
      </c>
      <c r="P340" s="42">
        <f t="shared" ca="1" si="76"/>
        <v>0.34538273524828478</v>
      </c>
      <c r="Q340" s="44">
        <f ca="1">IF(M340&lt;0,G340,IF(P340&lt;O340,G340,B340))</f>
        <v>7.9829166135929137</v>
      </c>
      <c r="R340" s="44">
        <f ca="1">IF(N340&lt;0,J340,IF(P340&lt;O340,J340,C340))</f>
        <v>3.9676633186741719</v>
      </c>
      <c r="S340" s="44">
        <f t="shared" ca="1" si="77"/>
        <v>-95.997616835990527</v>
      </c>
    </row>
    <row r="341" spans="1:19" x14ac:dyDescent="0.4">
      <c r="A341" s="42">
        <v>340</v>
      </c>
      <c r="B341" s="41">
        <f t="shared" ca="1" si="66"/>
        <v>7.9829166135929137</v>
      </c>
      <c r="C341" s="41">
        <f t="shared" ca="1" si="67"/>
        <v>3.9676633186741719</v>
      </c>
      <c r="D341" s="41">
        <f t="shared" ca="1" si="68"/>
        <v>-95.997616835990527</v>
      </c>
      <c r="E341" s="42">
        <f t="shared" ca="1" si="69"/>
        <v>-0.49709449304265063</v>
      </c>
      <c r="F341" s="42">
        <v>0.5</v>
      </c>
      <c r="G341" s="43">
        <f t="shared" ca="1" si="70"/>
        <v>7.7343693670715883</v>
      </c>
      <c r="H341" s="42">
        <f t="shared" ca="1" si="71"/>
        <v>0.59261432237972356</v>
      </c>
      <c r="I341" s="42">
        <v>0.5</v>
      </c>
      <c r="J341" s="43">
        <f t="shared" ca="1" si="72"/>
        <v>4.2639704798640334</v>
      </c>
      <c r="K341" s="43">
        <f t="shared" ca="1" si="73"/>
        <v>-95.790079538370748</v>
      </c>
      <c r="L341" s="42">
        <f t="shared" si="65"/>
        <v>2.76983060318329E-16</v>
      </c>
      <c r="M341" s="42">
        <f ca="1">K341-D341</f>
        <v>0.20753729761977979</v>
      </c>
      <c r="N341" s="42">
        <f t="shared" ca="1" si="74"/>
        <v>749277942778388.25</v>
      </c>
      <c r="O341" s="42">
        <f t="shared" ca="1" si="75"/>
        <v>0</v>
      </c>
      <c r="P341" s="42">
        <f t="shared" ca="1" si="76"/>
        <v>0.68829483818045401</v>
      </c>
      <c r="Q341" s="44">
        <f ca="1">IF(M341&lt;0,G341,IF(P341&lt;O341,G341,B341))</f>
        <v>7.9829166135929137</v>
      </c>
      <c r="R341" s="44">
        <f ca="1">IF(N341&lt;0,J341,IF(P341&lt;O341,J341,C341))</f>
        <v>3.9676633186741719</v>
      </c>
      <c r="S341" s="44">
        <f t="shared" ca="1" si="77"/>
        <v>-95.997616835990527</v>
      </c>
    </row>
    <row r="342" spans="1:19" x14ac:dyDescent="0.4">
      <c r="A342" s="42">
        <v>341</v>
      </c>
      <c r="B342" s="41">
        <f t="shared" ca="1" si="66"/>
        <v>7.9829166135929137</v>
      </c>
      <c r="C342" s="41">
        <f t="shared" ca="1" si="67"/>
        <v>3.9676633186741719</v>
      </c>
      <c r="D342" s="41">
        <f t="shared" ca="1" si="68"/>
        <v>-95.997616835990527</v>
      </c>
      <c r="E342" s="42">
        <f t="shared" ca="1" si="69"/>
        <v>-0.21666271172477414</v>
      </c>
      <c r="F342" s="42">
        <v>0.5</v>
      </c>
      <c r="G342" s="43">
        <f t="shared" ca="1" si="70"/>
        <v>7.8745852577305264</v>
      </c>
      <c r="H342" s="42">
        <f t="shared" ca="1" si="71"/>
        <v>0.45785352935288226</v>
      </c>
      <c r="I342" s="42">
        <v>0.5</v>
      </c>
      <c r="J342" s="43">
        <f t="shared" ca="1" si="72"/>
        <v>4.1965900833506131</v>
      </c>
      <c r="K342" s="43">
        <f t="shared" ca="1" si="73"/>
        <v>-95.906975820677872</v>
      </c>
      <c r="L342" s="42">
        <f t="shared" si="65"/>
        <v>2.4928475428649613E-16</v>
      </c>
      <c r="M342" s="42">
        <f ca="1">K342-D342</f>
        <v>9.0641015312655782E-2</v>
      </c>
      <c r="N342" s="42">
        <f t="shared" ca="1" si="74"/>
        <v>363604326995803.94</v>
      </c>
      <c r="O342" s="42">
        <f t="shared" ca="1" si="75"/>
        <v>0</v>
      </c>
      <c r="P342" s="42">
        <f t="shared" ca="1" si="76"/>
        <v>0.2059772967787733</v>
      </c>
      <c r="Q342" s="44">
        <f ca="1">IF(M342&lt;0,G342,IF(P342&lt;O342,G342,B342))</f>
        <v>7.9829166135929137</v>
      </c>
      <c r="R342" s="44">
        <f ca="1">IF(N342&lt;0,J342,IF(P342&lt;O342,J342,C342))</f>
        <v>3.9676633186741719</v>
      </c>
      <c r="S342" s="44">
        <f t="shared" ca="1" si="77"/>
        <v>-95.997616835990527</v>
      </c>
    </row>
    <row r="343" spans="1:19" x14ac:dyDescent="0.4">
      <c r="A343" s="42">
        <v>342</v>
      </c>
      <c r="B343" s="41">
        <f t="shared" ca="1" si="66"/>
        <v>7.9829166135929137</v>
      </c>
      <c r="C343" s="41">
        <f t="shared" ca="1" si="67"/>
        <v>3.9676633186741719</v>
      </c>
      <c r="D343" s="41">
        <f t="shared" ca="1" si="68"/>
        <v>-95.997616835990527</v>
      </c>
      <c r="E343" s="42">
        <f t="shared" ca="1" si="69"/>
        <v>-0.20257318271357105</v>
      </c>
      <c r="F343" s="42">
        <v>0.5</v>
      </c>
      <c r="G343" s="43">
        <f t="shared" ca="1" si="70"/>
        <v>7.881630022236128</v>
      </c>
      <c r="H343" s="42">
        <f t="shared" ca="1" si="71"/>
        <v>0.92126542141404699</v>
      </c>
      <c r="I343" s="42">
        <v>0.5</v>
      </c>
      <c r="J343" s="43">
        <f t="shared" ca="1" si="72"/>
        <v>4.4282960293811957</v>
      </c>
      <c r="K343" s="43">
        <f t="shared" ca="1" si="73"/>
        <v>-95.619113570796785</v>
      </c>
      <c r="L343" s="42">
        <f t="shared" si="65"/>
        <v>2.2435627885784655E-16</v>
      </c>
      <c r="M343" s="42">
        <f ca="1">K343-D343</f>
        <v>0.37850326519374278</v>
      </c>
      <c r="N343" s="42">
        <f t="shared" ca="1" si="74"/>
        <v>1687063393637245.5</v>
      </c>
      <c r="O343" s="42">
        <f t="shared" ca="1" si="75"/>
        <v>0</v>
      </c>
      <c r="P343" s="42">
        <f t="shared" ca="1" si="76"/>
        <v>0.59310614795374506</v>
      </c>
      <c r="Q343" s="44">
        <f ca="1">IF(M343&lt;0,G343,IF(P343&lt;O343,G343,B343))</f>
        <v>7.9829166135929137</v>
      </c>
      <c r="R343" s="44">
        <f ca="1">IF(N343&lt;0,J343,IF(P343&lt;O343,J343,C343))</f>
        <v>3.9676633186741719</v>
      </c>
      <c r="S343" s="44">
        <f t="shared" ca="1" si="77"/>
        <v>-95.997616835990527</v>
      </c>
    </row>
    <row r="344" spans="1:19" x14ac:dyDescent="0.4">
      <c r="A344" s="42">
        <v>343</v>
      </c>
      <c r="B344" s="41">
        <f t="shared" ca="1" si="66"/>
        <v>7.9829166135929137</v>
      </c>
      <c r="C344" s="41">
        <f t="shared" ca="1" si="67"/>
        <v>3.9676633186741719</v>
      </c>
      <c r="D344" s="41">
        <f t="shared" ca="1" si="68"/>
        <v>-95.997616835990527</v>
      </c>
      <c r="E344" s="42">
        <f t="shared" ca="1" si="69"/>
        <v>0.71654382897625957</v>
      </c>
      <c r="F344" s="42">
        <v>0.5</v>
      </c>
      <c r="G344" s="43">
        <f t="shared" ca="1" si="70"/>
        <v>8.3411885280810427</v>
      </c>
      <c r="H344" s="42">
        <f t="shared" ca="1" si="71"/>
        <v>0.59414376385096412</v>
      </c>
      <c r="I344" s="42">
        <v>0.5</v>
      </c>
      <c r="J344" s="43">
        <f t="shared" ca="1" si="72"/>
        <v>4.2647352005996542</v>
      </c>
      <c r="K344" s="43">
        <f t="shared" ca="1" si="73"/>
        <v>-95.743420935432809</v>
      </c>
      <c r="L344" s="42">
        <f t="shared" si="65"/>
        <v>2.0192065097206186E-16</v>
      </c>
      <c r="M344" s="42">
        <f ca="1">K344-D344</f>
        <v>0.25419590055771835</v>
      </c>
      <c r="N344" s="42">
        <f t="shared" ca="1" si="74"/>
        <v>1258890060694631</v>
      </c>
      <c r="O344" s="42">
        <f t="shared" ca="1" si="75"/>
        <v>0</v>
      </c>
      <c r="P344" s="42">
        <f t="shared" ca="1" si="76"/>
        <v>0.19982729863290283</v>
      </c>
      <c r="Q344" s="44">
        <f ca="1">IF(M344&lt;0,G344,IF(P344&lt;O344,G344,B344))</f>
        <v>7.9829166135929137</v>
      </c>
      <c r="R344" s="44">
        <f ca="1">IF(N344&lt;0,J344,IF(P344&lt;O344,J344,C344))</f>
        <v>3.9676633186741719</v>
      </c>
      <c r="S344" s="44">
        <f t="shared" ca="1" si="77"/>
        <v>-95.997616835990527</v>
      </c>
    </row>
    <row r="345" spans="1:19" x14ac:dyDescent="0.4">
      <c r="A345" s="42">
        <v>344</v>
      </c>
      <c r="B345" s="41">
        <f t="shared" ca="1" si="66"/>
        <v>7.9829166135929137</v>
      </c>
      <c r="C345" s="41">
        <f t="shared" ca="1" si="67"/>
        <v>3.9676633186741719</v>
      </c>
      <c r="D345" s="41">
        <f t="shared" ca="1" si="68"/>
        <v>-95.997616835990527</v>
      </c>
      <c r="E345" s="42">
        <f t="shared" ca="1" si="69"/>
        <v>0.88132271703392906</v>
      </c>
      <c r="F345" s="42">
        <v>0.5</v>
      </c>
      <c r="G345" s="43">
        <f t="shared" ca="1" si="70"/>
        <v>8.4235779721098787</v>
      </c>
      <c r="H345" s="42">
        <f t="shared" ca="1" si="71"/>
        <v>-0.96667712960754271</v>
      </c>
      <c r="I345" s="42">
        <v>0.5</v>
      </c>
      <c r="J345" s="43">
        <f t="shared" ca="1" si="72"/>
        <v>3.4843247538704007</v>
      </c>
      <c r="K345" s="43">
        <f t="shared" ca="1" si="73"/>
        <v>-95.288739782601652</v>
      </c>
      <c r="L345" s="42">
        <f t="shared" si="65"/>
        <v>1.817285858748557E-16</v>
      </c>
      <c r="M345" s="42">
        <f ca="1">K345-D345</f>
        <v>0.70887705338887486</v>
      </c>
      <c r="N345" s="42">
        <f t="shared" ca="1" si="74"/>
        <v>3900745994232470.5</v>
      </c>
      <c r="O345" s="42">
        <f t="shared" ca="1" si="75"/>
        <v>0</v>
      </c>
      <c r="P345" s="42">
        <f t="shared" ca="1" si="76"/>
        <v>0.53410429269803783</v>
      </c>
      <c r="Q345" s="44">
        <f ca="1">IF(M345&lt;0,G345,IF(P345&lt;O345,G345,B345))</f>
        <v>7.9829166135929137</v>
      </c>
      <c r="R345" s="44">
        <f ca="1">IF(N345&lt;0,J345,IF(P345&lt;O345,J345,C345))</f>
        <v>3.9676633186741719</v>
      </c>
      <c r="S345" s="44">
        <f t="shared" ca="1" si="77"/>
        <v>-95.997616835990527</v>
      </c>
    </row>
    <row r="346" spans="1:19" x14ac:dyDescent="0.4">
      <c r="A346" s="42">
        <v>345</v>
      </c>
      <c r="B346" s="41">
        <f t="shared" ca="1" si="66"/>
        <v>7.9829166135929137</v>
      </c>
      <c r="C346" s="41">
        <f t="shared" ca="1" si="67"/>
        <v>3.9676633186741719</v>
      </c>
      <c r="D346" s="41">
        <f t="shared" ca="1" si="68"/>
        <v>-95.997616835990527</v>
      </c>
      <c r="E346" s="42">
        <f t="shared" ca="1" si="69"/>
        <v>-7.658703008341039E-2</v>
      </c>
      <c r="F346" s="42">
        <v>0.5</v>
      </c>
      <c r="G346" s="43">
        <f t="shared" ca="1" si="70"/>
        <v>7.9446230985512081</v>
      </c>
      <c r="H346" s="42">
        <f t="shared" ca="1" si="71"/>
        <v>0.31036467620818797</v>
      </c>
      <c r="I346" s="42">
        <v>0.5</v>
      </c>
      <c r="J346" s="43">
        <f t="shared" ca="1" si="72"/>
        <v>4.1228456567782654</v>
      </c>
      <c r="K346" s="43">
        <f t="shared" ca="1" si="73"/>
        <v>-95.966751288007359</v>
      </c>
      <c r="L346" s="42">
        <f t="shared" si="65"/>
        <v>1.6355572728737013E-16</v>
      </c>
      <c r="M346" s="42">
        <f ca="1">K346-D346</f>
        <v>3.086554798316854E-2</v>
      </c>
      <c r="N346" s="42">
        <f t="shared" ca="1" si="74"/>
        <v>188715788160308.56</v>
      </c>
      <c r="O346" s="42">
        <f t="shared" ca="1" si="75"/>
        <v>0</v>
      </c>
      <c r="P346" s="42">
        <f t="shared" ca="1" si="76"/>
        <v>0.1389758901944731</v>
      </c>
      <c r="Q346" s="44">
        <f ca="1">IF(M346&lt;0,G346,IF(P346&lt;O346,G346,B346))</f>
        <v>7.9829166135929137</v>
      </c>
      <c r="R346" s="44">
        <f ca="1">IF(N346&lt;0,J346,IF(P346&lt;O346,J346,C346))</f>
        <v>3.9676633186741719</v>
      </c>
      <c r="S346" s="44">
        <f t="shared" ca="1" si="77"/>
        <v>-95.997616835990527</v>
      </c>
    </row>
    <row r="347" spans="1:19" x14ac:dyDescent="0.4">
      <c r="A347" s="42">
        <v>346</v>
      </c>
      <c r="B347" s="41">
        <f t="shared" ca="1" si="66"/>
        <v>7.9829166135929137</v>
      </c>
      <c r="C347" s="41">
        <f t="shared" ca="1" si="67"/>
        <v>3.9676633186741719</v>
      </c>
      <c r="D347" s="41">
        <f t="shared" ca="1" si="68"/>
        <v>-95.997616835990527</v>
      </c>
      <c r="E347" s="42">
        <f t="shared" ca="1" si="69"/>
        <v>0.21121940015382767</v>
      </c>
      <c r="F347" s="42">
        <v>0.5</v>
      </c>
      <c r="G347" s="43">
        <f t="shared" ca="1" si="70"/>
        <v>8.0885263136698278</v>
      </c>
      <c r="H347" s="42">
        <f t="shared" ca="1" si="71"/>
        <v>9.8245815575630502E-3</v>
      </c>
      <c r="I347" s="42">
        <v>0.5</v>
      </c>
      <c r="J347" s="43">
        <f t="shared" ca="1" si="72"/>
        <v>3.9725756094529534</v>
      </c>
      <c r="K347" s="43">
        <f t="shared" ca="1" si="73"/>
        <v>-95.990658897394269</v>
      </c>
      <c r="L347" s="42">
        <f t="shared" si="65"/>
        <v>1.4720015455863314E-16</v>
      </c>
      <c r="M347" s="42">
        <f ca="1">K347-D347</f>
        <v>6.9579385962583729E-3</v>
      </c>
      <c r="N347" s="42">
        <f t="shared" ca="1" si="74"/>
        <v>47268554962602.766</v>
      </c>
      <c r="O347" s="42">
        <f t="shared" ca="1" si="75"/>
        <v>0</v>
      </c>
      <c r="P347" s="42">
        <f t="shared" ca="1" si="76"/>
        <v>3.4753437790597475E-2</v>
      </c>
      <c r="Q347" s="44">
        <f ca="1">IF(M347&lt;0,G347,IF(P347&lt;O347,G347,B347))</f>
        <v>7.9829166135929137</v>
      </c>
      <c r="R347" s="44">
        <f ca="1">IF(N347&lt;0,J347,IF(P347&lt;O347,J347,C347))</f>
        <v>3.9676633186741719</v>
      </c>
      <c r="S347" s="44">
        <f t="shared" ca="1" si="77"/>
        <v>-95.997616835990527</v>
      </c>
    </row>
    <row r="348" spans="1:19" x14ac:dyDescent="0.4">
      <c r="A348" s="42">
        <v>347</v>
      </c>
      <c r="B348" s="41">
        <f t="shared" ca="1" si="66"/>
        <v>7.9829166135929137</v>
      </c>
      <c r="C348" s="41">
        <f t="shared" ca="1" si="67"/>
        <v>3.9676633186741719</v>
      </c>
      <c r="D348" s="41">
        <f t="shared" ca="1" si="68"/>
        <v>-95.997616835990527</v>
      </c>
      <c r="E348" s="42">
        <f t="shared" ca="1" si="69"/>
        <v>-0.46479884429300555</v>
      </c>
      <c r="F348" s="42">
        <v>0.5</v>
      </c>
      <c r="G348" s="43">
        <f t="shared" ca="1" si="70"/>
        <v>7.750517191446411</v>
      </c>
      <c r="H348" s="42">
        <f t="shared" ca="1" si="71"/>
        <v>5.1943539849593989E-2</v>
      </c>
      <c r="I348" s="42">
        <v>0.5</v>
      </c>
      <c r="J348" s="43">
        <f t="shared" ca="1" si="72"/>
        <v>3.9936350885989689</v>
      </c>
      <c r="K348" s="43">
        <f t="shared" ca="1" si="73"/>
        <v>-95.937677304041927</v>
      </c>
      <c r="L348" s="42">
        <f t="shared" si="65"/>
        <v>1.3248013910276981E-16</v>
      </c>
      <c r="M348" s="42">
        <f ca="1">K348-D348</f>
        <v>5.9939531948600688E-2</v>
      </c>
      <c r="N348" s="42">
        <f t="shared" ca="1" si="74"/>
        <v>452441644117714.5</v>
      </c>
      <c r="O348" s="42">
        <f t="shared" ca="1" si="75"/>
        <v>0</v>
      </c>
      <c r="P348" s="42">
        <f t="shared" ca="1" si="76"/>
        <v>0.81870257960727144</v>
      </c>
      <c r="Q348" s="44">
        <f ca="1">IF(M348&lt;0,G348,IF(P348&lt;O348,G348,B348))</f>
        <v>7.9829166135929137</v>
      </c>
      <c r="R348" s="44">
        <f ca="1">IF(N348&lt;0,J348,IF(P348&lt;O348,J348,C348))</f>
        <v>3.9676633186741719</v>
      </c>
      <c r="S348" s="44">
        <f t="shared" ca="1" si="77"/>
        <v>-95.997616835990527</v>
      </c>
    </row>
    <row r="349" spans="1:19" x14ac:dyDescent="0.4">
      <c r="A349" s="42">
        <v>348</v>
      </c>
      <c r="B349" s="41">
        <f t="shared" ca="1" si="66"/>
        <v>7.9829166135929137</v>
      </c>
      <c r="C349" s="41">
        <f t="shared" ca="1" si="67"/>
        <v>3.9676633186741719</v>
      </c>
      <c r="D349" s="41">
        <f t="shared" ca="1" si="68"/>
        <v>-95.997616835990527</v>
      </c>
      <c r="E349" s="42">
        <f t="shared" ca="1" si="69"/>
        <v>-0.66375276584118081</v>
      </c>
      <c r="F349" s="42">
        <v>0.5</v>
      </c>
      <c r="G349" s="43">
        <f t="shared" ca="1" si="70"/>
        <v>7.6510402306723231</v>
      </c>
      <c r="H349" s="42">
        <f t="shared" ca="1" si="71"/>
        <v>0.62698935424557867</v>
      </c>
      <c r="I349" s="42">
        <v>0.5</v>
      </c>
      <c r="J349" s="43">
        <f t="shared" ca="1" si="72"/>
        <v>4.2811579957969617</v>
      </c>
      <c r="K349" s="43">
        <f t="shared" ca="1" si="73"/>
        <v>-95.72012744218965</v>
      </c>
      <c r="L349" s="42">
        <f t="shared" si="65"/>
        <v>1.1923212519249284E-16</v>
      </c>
      <c r="M349" s="42">
        <f ca="1">K349-D349</f>
        <v>0.27748939380087734</v>
      </c>
      <c r="N349" s="42">
        <f t="shared" ca="1" si="74"/>
        <v>2327303932164993.5</v>
      </c>
      <c r="O349" s="42">
        <f t="shared" ca="1" si="75"/>
        <v>0</v>
      </c>
      <c r="P349" s="42">
        <f t="shared" ca="1" si="76"/>
        <v>0.14754535633679466</v>
      </c>
      <c r="Q349" s="44">
        <f ca="1">IF(M349&lt;0,G349,IF(P349&lt;O349,G349,B349))</f>
        <v>7.9829166135929137</v>
      </c>
      <c r="R349" s="44">
        <f ca="1">IF(N349&lt;0,J349,IF(P349&lt;O349,J349,C349))</f>
        <v>3.9676633186741719</v>
      </c>
      <c r="S349" s="44">
        <f t="shared" ca="1" si="77"/>
        <v>-95.997616835990527</v>
      </c>
    </row>
    <row r="350" spans="1:19" x14ac:dyDescent="0.4">
      <c r="A350" s="42">
        <v>349</v>
      </c>
      <c r="B350" s="41">
        <f t="shared" ca="1" si="66"/>
        <v>7.9829166135929137</v>
      </c>
      <c r="C350" s="41">
        <f t="shared" ca="1" si="67"/>
        <v>3.9676633186741719</v>
      </c>
      <c r="D350" s="41">
        <f t="shared" ca="1" si="68"/>
        <v>-95.997616835990527</v>
      </c>
      <c r="E350" s="42">
        <f t="shared" ca="1" si="69"/>
        <v>0.33429555424065294</v>
      </c>
      <c r="F350" s="42">
        <v>0.5</v>
      </c>
      <c r="G350" s="43">
        <f t="shared" ca="1" si="70"/>
        <v>8.15006439071324</v>
      </c>
      <c r="H350" s="42">
        <f t="shared" ca="1" si="71"/>
        <v>7.539549751753305E-2</v>
      </c>
      <c r="I350" s="42">
        <v>0.5</v>
      </c>
      <c r="J350" s="43">
        <f t="shared" ca="1" si="72"/>
        <v>4.0053610674329381</v>
      </c>
      <c r="K350" s="43">
        <f t="shared" ca="1" si="73"/>
        <v>-95.977423196551825</v>
      </c>
      <c r="L350" s="42">
        <f t="shared" si="65"/>
        <v>1.0730891267324357E-16</v>
      </c>
      <c r="M350" s="42">
        <f ca="1">K350-D350</f>
        <v>2.0193639438701894E-2</v>
      </c>
      <c r="N350" s="42">
        <f t="shared" ca="1" si="74"/>
        <v>188182313431799.22</v>
      </c>
      <c r="O350" s="42">
        <f t="shared" ca="1" si="75"/>
        <v>0</v>
      </c>
      <c r="P350" s="42">
        <f t="shared" ca="1" si="76"/>
        <v>0.50718004274783679</v>
      </c>
      <c r="Q350" s="44">
        <f ca="1">IF(M350&lt;0,G350,IF(P350&lt;O350,G350,B350))</f>
        <v>7.9829166135929137</v>
      </c>
      <c r="R350" s="44">
        <f ca="1">IF(N350&lt;0,J350,IF(P350&lt;O350,J350,C350))</f>
        <v>3.9676633186741719</v>
      </c>
      <c r="S350" s="44">
        <f t="shared" ca="1" si="77"/>
        <v>-95.997616835990527</v>
      </c>
    </row>
    <row r="351" spans="1:19" x14ac:dyDescent="0.4">
      <c r="A351" s="42">
        <v>350</v>
      </c>
      <c r="B351" s="41">
        <f t="shared" ca="1" si="66"/>
        <v>7.9829166135929137</v>
      </c>
      <c r="C351" s="41">
        <f t="shared" ca="1" si="67"/>
        <v>3.9676633186741719</v>
      </c>
      <c r="D351" s="41">
        <f t="shared" ca="1" si="68"/>
        <v>-95.997616835990527</v>
      </c>
      <c r="E351" s="42">
        <f t="shared" ca="1" si="69"/>
        <v>-0.4317945439190003</v>
      </c>
      <c r="F351" s="42">
        <v>0.5</v>
      </c>
      <c r="G351" s="43">
        <f t="shared" ca="1" si="70"/>
        <v>7.7670193416334135</v>
      </c>
      <c r="H351" s="42">
        <f t="shared" ca="1" si="71"/>
        <v>0.29770278110894188</v>
      </c>
      <c r="I351" s="42">
        <v>0.5</v>
      </c>
      <c r="J351" s="43">
        <f t="shared" ca="1" si="72"/>
        <v>4.1165147092286425</v>
      </c>
      <c r="K351" s="43">
        <f t="shared" ca="1" si="73"/>
        <v>-95.918568657893815</v>
      </c>
      <c r="L351" s="42">
        <f t="shared" si="65"/>
        <v>9.6578021405919203E-17</v>
      </c>
      <c r="M351" s="42">
        <f ca="1">K351-D351</f>
        <v>7.9048178096712718E-2</v>
      </c>
      <c r="N351" s="42">
        <f t="shared" ca="1" si="74"/>
        <v>818490345380671.75</v>
      </c>
      <c r="O351" s="42">
        <f t="shared" ca="1" si="75"/>
        <v>0</v>
      </c>
      <c r="P351" s="42">
        <f t="shared" ca="1" si="76"/>
        <v>0.81624560963546178</v>
      </c>
      <c r="Q351" s="44">
        <f ca="1">IF(M351&lt;0,G351,IF(P351&lt;O351,G351,B351))</f>
        <v>7.9829166135929137</v>
      </c>
      <c r="R351" s="44">
        <f ca="1">IF(N351&lt;0,J351,IF(P351&lt;O351,J351,C351))</f>
        <v>3.9676633186741719</v>
      </c>
      <c r="S351" s="44">
        <f t="shared" ca="1" si="77"/>
        <v>-95.997616835990527</v>
      </c>
    </row>
    <row r="352" spans="1:19" x14ac:dyDescent="0.4">
      <c r="A352" s="42">
        <v>351</v>
      </c>
      <c r="B352" s="41">
        <f t="shared" ca="1" si="66"/>
        <v>7.9829166135929137</v>
      </c>
      <c r="C352" s="41">
        <f t="shared" ca="1" si="67"/>
        <v>3.9676633186741719</v>
      </c>
      <c r="D352" s="41">
        <f t="shared" ca="1" si="68"/>
        <v>-95.997616835990527</v>
      </c>
      <c r="E352" s="42">
        <f t="shared" ca="1" si="69"/>
        <v>-0.16367009877258876</v>
      </c>
      <c r="F352" s="42">
        <v>0.5</v>
      </c>
      <c r="G352" s="43">
        <f t="shared" ca="1" si="70"/>
        <v>7.9010815642066197</v>
      </c>
      <c r="H352" s="42">
        <f t="shared" ca="1" si="71"/>
        <v>0.15993103213033555</v>
      </c>
      <c r="I352" s="42">
        <v>0.5</v>
      </c>
      <c r="J352" s="43">
        <f t="shared" ca="1" si="72"/>
        <v>4.0476288347393394</v>
      </c>
      <c r="K352" s="43">
        <f t="shared" ca="1" si="73"/>
        <v>-95.985678131262944</v>
      </c>
      <c r="L352" s="42">
        <f t="shared" si="65"/>
        <v>8.6920219265327282E-17</v>
      </c>
      <c r="M352" s="42">
        <f ca="1">K352-D352</f>
        <v>1.1938704727583627E-2</v>
      </c>
      <c r="N352" s="42">
        <f t="shared" ca="1" si="74"/>
        <v>137352446053320.17</v>
      </c>
      <c r="O352" s="42">
        <f t="shared" ca="1" si="75"/>
        <v>0</v>
      </c>
      <c r="P352" s="42">
        <f t="shared" ca="1" si="76"/>
        <v>0.86458838679330552</v>
      </c>
      <c r="Q352" s="44">
        <f ca="1">IF(M352&lt;0,G352,IF(P352&lt;O352,G352,B352))</f>
        <v>7.9829166135929137</v>
      </c>
      <c r="R352" s="44">
        <f ca="1">IF(N352&lt;0,J352,IF(P352&lt;O352,J352,C352))</f>
        <v>3.9676633186741719</v>
      </c>
      <c r="S352" s="44">
        <f t="shared" ca="1" si="77"/>
        <v>-95.997616835990527</v>
      </c>
    </row>
    <row r="353" spans="1:19" x14ac:dyDescent="0.4">
      <c r="A353" s="42">
        <v>352</v>
      </c>
      <c r="B353" s="41">
        <f t="shared" ca="1" si="66"/>
        <v>7.9829166135929137</v>
      </c>
      <c r="C353" s="41">
        <f t="shared" ca="1" si="67"/>
        <v>3.9676633186741719</v>
      </c>
      <c r="D353" s="41">
        <f t="shared" ca="1" si="68"/>
        <v>-95.997616835990527</v>
      </c>
      <c r="E353" s="42">
        <f t="shared" ca="1" si="69"/>
        <v>-0.90444893957357708</v>
      </c>
      <c r="F353" s="42">
        <v>0.5</v>
      </c>
      <c r="G353" s="43">
        <f t="shared" ca="1" si="70"/>
        <v>7.5306921438061254</v>
      </c>
      <c r="H353" s="42">
        <f t="shared" ca="1" si="71"/>
        <v>-0.18743601187712144</v>
      </c>
      <c r="I353" s="42">
        <v>0.5</v>
      </c>
      <c r="J353" s="43">
        <f t="shared" ca="1" si="72"/>
        <v>3.8739453127356112</v>
      </c>
      <c r="K353" s="43">
        <f t="shared" ca="1" si="73"/>
        <v>-95.747970567752063</v>
      </c>
      <c r="L353" s="42">
        <f t="shared" si="65"/>
        <v>7.8228197338794568E-17</v>
      </c>
      <c r="M353" s="42">
        <f ca="1">K353-D353</f>
        <v>0.24964626823846459</v>
      </c>
      <c r="N353" s="42">
        <f t="shared" ca="1" si="74"/>
        <v>3191256819549147</v>
      </c>
      <c r="O353" s="42">
        <f t="shared" ca="1" si="75"/>
        <v>0</v>
      </c>
      <c r="P353" s="42">
        <f t="shared" ca="1" si="76"/>
        <v>0.83551324867537691</v>
      </c>
      <c r="Q353" s="44">
        <f ca="1">IF(M353&lt;0,G353,IF(P353&lt;O353,G353,B353))</f>
        <v>7.9829166135929137</v>
      </c>
      <c r="R353" s="44">
        <f ca="1">IF(N353&lt;0,J353,IF(P353&lt;O353,J353,C353))</f>
        <v>3.9676633186741719</v>
      </c>
      <c r="S353" s="44">
        <f t="shared" ca="1" si="77"/>
        <v>-95.997616835990527</v>
      </c>
    </row>
    <row r="354" spans="1:19" x14ac:dyDescent="0.4">
      <c r="A354" s="42">
        <v>353</v>
      </c>
      <c r="B354" s="41">
        <f t="shared" ca="1" si="66"/>
        <v>7.9829166135929137</v>
      </c>
      <c r="C354" s="41">
        <f t="shared" ca="1" si="67"/>
        <v>3.9676633186741719</v>
      </c>
      <c r="D354" s="41">
        <f t="shared" ca="1" si="68"/>
        <v>-95.997616835990527</v>
      </c>
      <c r="E354" s="42">
        <f t="shared" ca="1" si="69"/>
        <v>-0.85965998283969092</v>
      </c>
      <c r="F354" s="42">
        <v>0.5</v>
      </c>
      <c r="G354" s="43">
        <f t="shared" ca="1" si="70"/>
        <v>7.5530866221730681</v>
      </c>
      <c r="H354" s="42">
        <f t="shared" ca="1" si="71"/>
        <v>0.64480746394994459</v>
      </c>
      <c r="I354" s="42">
        <v>0.5</v>
      </c>
      <c r="J354" s="43">
        <f t="shared" ca="1" si="72"/>
        <v>4.2900670506491441</v>
      </c>
      <c r="K354" s="43">
        <f t="shared" ca="1" si="73"/>
        <v>-95.631990644974735</v>
      </c>
      <c r="L354" s="42">
        <f t="shared" si="65"/>
        <v>7.0405377604915112E-17</v>
      </c>
      <c r="M354" s="42">
        <f ca="1">K354-D354</f>
        <v>0.3656261910157923</v>
      </c>
      <c r="N354" s="42">
        <f t="shared" ca="1" si="74"/>
        <v>5193157162902104</v>
      </c>
      <c r="O354" s="42">
        <f t="shared" ca="1" si="75"/>
        <v>0</v>
      </c>
      <c r="P354" s="42">
        <f t="shared" ca="1" si="76"/>
        <v>0.2827305192351578</v>
      </c>
      <c r="Q354" s="44">
        <f ca="1">IF(M354&lt;0,G354,IF(P354&lt;O354,G354,B354))</f>
        <v>7.9829166135929137</v>
      </c>
      <c r="R354" s="44">
        <f ca="1">IF(N354&lt;0,J354,IF(P354&lt;O354,J354,C354))</f>
        <v>3.9676633186741719</v>
      </c>
      <c r="S354" s="44">
        <f t="shared" ca="1" si="77"/>
        <v>-95.997616835990527</v>
      </c>
    </row>
    <row r="355" spans="1:19" x14ac:dyDescent="0.4">
      <c r="A355" s="42">
        <v>354</v>
      </c>
      <c r="B355" s="41">
        <f t="shared" ca="1" si="66"/>
        <v>7.9829166135929137</v>
      </c>
      <c r="C355" s="41">
        <f t="shared" ca="1" si="67"/>
        <v>3.9676633186741719</v>
      </c>
      <c r="D355" s="41">
        <f t="shared" ca="1" si="68"/>
        <v>-95.997616835990527</v>
      </c>
      <c r="E355" s="42">
        <f t="shared" ca="1" si="69"/>
        <v>0.77513921134243069</v>
      </c>
      <c r="F355" s="42">
        <v>0.5</v>
      </c>
      <c r="G355" s="43">
        <f t="shared" ca="1" si="70"/>
        <v>8.3704862192641283</v>
      </c>
      <c r="H355" s="42">
        <f t="shared" ca="1" si="71"/>
        <v>-0.58415202960068546</v>
      </c>
      <c r="I355" s="42">
        <v>0.5</v>
      </c>
      <c r="J355" s="43">
        <f t="shared" ca="1" si="72"/>
        <v>3.6755873038738294</v>
      </c>
      <c r="K355" s="43">
        <f t="shared" ca="1" si="73"/>
        <v>-95.65225276651968</v>
      </c>
      <c r="L355" s="42">
        <f t="shared" si="65"/>
        <v>6.33648398444236E-17</v>
      </c>
      <c r="M355" s="42">
        <f ca="1">K355-D355</f>
        <v>0.34536406947084686</v>
      </c>
      <c r="N355" s="42">
        <f t="shared" ca="1" si="74"/>
        <v>5450405466482695</v>
      </c>
      <c r="O355" s="42">
        <f t="shared" ca="1" si="75"/>
        <v>0</v>
      </c>
      <c r="P355" s="42">
        <f t="shared" ca="1" si="76"/>
        <v>4.1106404672064945E-2</v>
      </c>
      <c r="Q355" s="44">
        <f ca="1">IF(M355&lt;0,G355,IF(P355&lt;O355,G355,B355))</f>
        <v>7.9829166135929137</v>
      </c>
      <c r="R355" s="44">
        <f ca="1">IF(N355&lt;0,J355,IF(P355&lt;O355,J355,C355))</f>
        <v>3.9676633186741719</v>
      </c>
      <c r="S355" s="44">
        <f t="shared" ca="1" si="77"/>
        <v>-95.997616835990527</v>
      </c>
    </row>
    <row r="356" spans="1:19" x14ac:dyDescent="0.4">
      <c r="A356" s="42">
        <v>355</v>
      </c>
      <c r="B356" s="41">
        <f t="shared" ca="1" si="66"/>
        <v>7.9829166135929137</v>
      </c>
      <c r="C356" s="41">
        <f t="shared" ca="1" si="67"/>
        <v>3.9676633186741719</v>
      </c>
      <c r="D356" s="41">
        <f t="shared" ca="1" si="68"/>
        <v>-95.997616835990527</v>
      </c>
      <c r="E356" s="42">
        <f t="shared" ca="1" si="69"/>
        <v>0.51463658535182977</v>
      </c>
      <c r="F356" s="42">
        <v>0.5</v>
      </c>
      <c r="G356" s="43">
        <f t="shared" ca="1" si="70"/>
        <v>8.240234906268828</v>
      </c>
      <c r="H356" s="42">
        <f t="shared" ca="1" si="71"/>
        <v>-0.58048742166023626</v>
      </c>
      <c r="I356" s="42">
        <v>0.5</v>
      </c>
      <c r="J356" s="43">
        <f t="shared" ca="1" si="72"/>
        <v>3.6774196078440538</v>
      </c>
      <c r="K356" s="43">
        <f t="shared" ca="1" si="73"/>
        <v>-95.734170971003039</v>
      </c>
      <c r="L356" s="42">
        <f t="shared" si="65"/>
        <v>5.7028355859981239E-17</v>
      </c>
      <c r="M356" s="42">
        <f ca="1">K356-D356</f>
        <v>0.26344586498748868</v>
      </c>
      <c r="N356" s="42">
        <f t="shared" ca="1" si="74"/>
        <v>4619559182704015</v>
      </c>
      <c r="O356" s="42">
        <f t="shared" ca="1" si="75"/>
        <v>0</v>
      </c>
      <c r="P356" s="42">
        <f t="shared" ca="1" si="76"/>
        <v>0.87109026983136184</v>
      </c>
      <c r="Q356" s="44">
        <f ca="1">IF(M356&lt;0,G356,IF(P356&lt;O356,G356,B356))</f>
        <v>7.9829166135929137</v>
      </c>
      <c r="R356" s="44">
        <f ca="1">IF(N356&lt;0,J356,IF(P356&lt;O356,J356,C356))</f>
        <v>3.9676633186741719</v>
      </c>
      <c r="S356" s="44">
        <f t="shared" ca="1" si="77"/>
        <v>-95.997616835990527</v>
      </c>
    </row>
    <row r="357" spans="1:19" x14ac:dyDescent="0.4">
      <c r="A357" s="42">
        <v>356</v>
      </c>
      <c r="B357" s="41">
        <f t="shared" ca="1" si="66"/>
        <v>7.9829166135929137</v>
      </c>
      <c r="C357" s="41">
        <f t="shared" ca="1" si="67"/>
        <v>3.9676633186741719</v>
      </c>
      <c r="D357" s="41">
        <f t="shared" ca="1" si="68"/>
        <v>-95.997616835990527</v>
      </c>
      <c r="E357" s="42">
        <f t="shared" ca="1" si="69"/>
        <v>0.45975633617626666</v>
      </c>
      <c r="F357" s="42">
        <v>0.5</v>
      </c>
      <c r="G357" s="43">
        <f t="shared" ca="1" si="70"/>
        <v>8.2127947816810476</v>
      </c>
      <c r="H357" s="42">
        <f t="shared" ca="1" si="71"/>
        <v>0.81598590136192994</v>
      </c>
      <c r="I357" s="42">
        <v>0.5</v>
      </c>
      <c r="J357" s="43">
        <f t="shared" ca="1" si="72"/>
        <v>4.3756562693551366</v>
      </c>
      <c r="K357" s="43">
        <f t="shared" ca="1" si="73"/>
        <v>-95.672483115477689</v>
      </c>
      <c r="L357" s="42">
        <f t="shared" si="65"/>
        <v>5.132552027398312E-17</v>
      </c>
      <c r="M357" s="42">
        <f ca="1">K357-D357</f>
        <v>0.32513372051283795</v>
      </c>
      <c r="N357" s="42">
        <f t="shared" ca="1" si="74"/>
        <v>6334737938889400</v>
      </c>
      <c r="O357" s="42">
        <f t="shared" ca="1" si="75"/>
        <v>0</v>
      </c>
      <c r="P357" s="42">
        <f t="shared" ca="1" si="76"/>
        <v>0.13449022430619917</v>
      </c>
      <c r="Q357" s="44">
        <f ca="1">IF(M357&lt;0,G357,IF(P357&lt;O357,G357,B357))</f>
        <v>7.9829166135929137</v>
      </c>
      <c r="R357" s="44">
        <f ca="1">IF(N357&lt;0,J357,IF(P357&lt;O357,J357,C357))</f>
        <v>3.9676633186741719</v>
      </c>
      <c r="S357" s="44">
        <f t="shared" ca="1" si="77"/>
        <v>-95.997616835990527</v>
      </c>
    </row>
    <row r="358" spans="1:19" x14ac:dyDescent="0.4">
      <c r="A358" s="42">
        <v>357</v>
      </c>
      <c r="B358" s="41">
        <f t="shared" ca="1" si="66"/>
        <v>7.9829166135929137</v>
      </c>
      <c r="C358" s="41">
        <f t="shared" ca="1" si="67"/>
        <v>3.9676633186741719</v>
      </c>
      <c r="D358" s="41">
        <f t="shared" ca="1" si="68"/>
        <v>-95.997616835990527</v>
      </c>
      <c r="E358" s="42">
        <f t="shared" ca="1" si="69"/>
        <v>-0.974558328366947</v>
      </c>
      <c r="F358" s="42">
        <v>0.5</v>
      </c>
      <c r="G358" s="43">
        <f t="shared" ca="1" si="70"/>
        <v>7.4956374494094398</v>
      </c>
      <c r="H358" s="42">
        <f t="shared" ca="1" si="71"/>
        <v>0.56115487015303733</v>
      </c>
      <c r="I358" s="42">
        <v>0.5</v>
      </c>
      <c r="J358" s="43">
        <f t="shared" ca="1" si="72"/>
        <v>4.2482407537506903</v>
      </c>
      <c r="K358" s="43">
        <f t="shared" ca="1" si="73"/>
        <v>-95.62237147391636</v>
      </c>
      <c r="L358" s="42">
        <f t="shared" si="65"/>
        <v>4.619296824658482E-17</v>
      </c>
      <c r="M358" s="42">
        <f ca="1">K358-D358</f>
        <v>0.37524536207416759</v>
      </c>
      <c r="N358" s="42">
        <f t="shared" ca="1" si="74"/>
        <v>8123430390336749</v>
      </c>
      <c r="O358" s="42">
        <f t="shared" ca="1" si="75"/>
        <v>0</v>
      </c>
      <c r="P358" s="42">
        <f t="shared" ca="1" si="76"/>
        <v>0.45022415900870583</v>
      </c>
      <c r="Q358" s="44">
        <f ca="1">IF(M358&lt;0,G358,IF(P358&lt;O358,G358,B358))</f>
        <v>7.9829166135929137</v>
      </c>
      <c r="R358" s="44">
        <f ca="1">IF(N358&lt;0,J358,IF(P358&lt;O358,J358,C358))</f>
        <v>3.9676633186741719</v>
      </c>
      <c r="S358" s="44">
        <f t="shared" ca="1" si="77"/>
        <v>-95.997616835990527</v>
      </c>
    </row>
    <row r="359" spans="1:19" x14ac:dyDescent="0.4">
      <c r="A359" s="42">
        <v>358</v>
      </c>
      <c r="B359" s="41">
        <f t="shared" ca="1" si="66"/>
        <v>7.9829166135929137</v>
      </c>
      <c r="C359" s="41">
        <f t="shared" ca="1" si="67"/>
        <v>3.9676633186741719</v>
      </c>
      <c r="D359" s="41">
        <f t="shared" ca="1" si="68"/>
        <v>-95.997616835990527</v>
      </c>
      <c r="E359" s="42">
        <f t="shared" ca="1" si="69"/>
        <v>-0.61835624549655765</v>
      </c>
      <c r="F359" s="42">
        <v>0.5</v>
      </c>
      <c r="G359" s="43">
        <f t="shared" ca="1" si="70"/>
        <v>7.6737384908446344</v>
      </c>
      <c r="H359" s="42">
        <f t="shared" ca="1" si="71"/>
        <v>-0.78330827561703642</v>
      </c>
      <c r="I359" s="42">
        <v>0.5</v>
      </c>
      <c r="J359" s="43">
        <f t="shared" ca="1" si="72"/>
        <v>3.5760091808656536</v>
      </c>
      <c r="K359" s="43">
        <f t="shared" ca="1" si="73"/>
        <v>-95.534016998223223</v>
      </c>
      <c r="L359" s="42">
        <f t="shared" si="65"/>
        <v>4.1573671421926332E-17</v>
      </c>
      <c r="M359" s="42">
        <f ca="1">K359-D359</f>
        <v>0.46359983776730473</v>
      </c>
      <c r="N359" s="42">
        <f t="shared" ca="1" si="74"/>
        <v>1.1151284500766944E+16</v>
      </c>
      <c r="O359" s="42">
        <f t="shared" ca="1" si="75"/>
        <v>0</v>
      </c>
      <c r="P359" s="42">
        <f t="shared" ca="1" si="76"/>
        <v>0.27467221341330206</v>
      </c>
      <c r="Q359" s="44">
        <f ca="1">IF(M359&lt;0,G359,IF(P359&lt;O359,G359,B359))</f>
        <v>7.9829166135929137</v>
      </c>
      <c r="R359" s="44">
        <f ca="1">IF(N359&lt;0,J359,IF(P359&lt;O359,J359,C359))</f>
        <v>3.9676633186741719</v>
      </c>
      <c r="S359" s="44">
        <f t="shared" ca="1" si="77"/>
        <v>-95.997616835990527</v>
      </c>
    </row>
    <row r="360" spans="1:19" x14ac:dyDescent="0.4">
      <c r="A360" s="42">
        <v>359</v>
      </c>
      <c r="B360" s="41">
        <f t="shared" ca="1" si="66"/>
        <v>7.9829166135929137</v>
      </c>
      <c r="C360" s="41">
        <f t="shared" ca="1" si="67"/>
        <v>3.9676633186741719</v>
      </c>
      <c r="D360" s="41">
        <f t="shared" ca="1" si="68"/>
        <v>-95.997616835990527</v>
      </c>
      <c r="E360" s="42">
        <f t="shared" ca="1" si="69"/>
        <v>-7.6387532308435979E-2</v>
      </c>
      <c r="F360" s="42">
        <v>0.5</v>
      </c>
      <c r="G360" s="43">
        <f t="shared" ca="1" si="70"/>
        <v>7.9447228474386957</v>
      </c>
      <c r="H360" s="42">
        <f t="shared" ca="1" si="71"/>
        <v>0.22284005754426994</v>
      </c>
      <c r="I360" s="42">
        <v>0.5</v>
      </c>
      <c r="J360" s="43">
        <f t="shared" ca="1" si="72"/>
        <v>4.0790833474463071</v>
      </c>
      <c r="K360" s="43">
        <f t="shared" ca="1" si="73"/>
        <v>-95.984436084718084</v>
      </c>
      <c r="L360" s="42">
        <f t="shared" si="65"/>
        <v>3.7416304279733699E-17</v>
      </c>
      <c r="M360" s="42">
        <f ca="1">K360-D360</f>
        <v>1.3180751272443558E-2</v>
      </c>
      <c r="N360" s="42">
        <f t="shared" ca="1" si="74"/>
        <v>352272933582668.88</v>
      </c>
      <c r="O360" s="42">
        <f t="shared" ca="1" si="75"/>
        <v>0</v>
      </c>
      <c r="P360" s="42">
        <f t="shared" ca="1" si="76"/>
        <v>0.80550077259125752</v>
      </c>
      <c r="Q360" s="44">
        <f ca="1">IF(M360&lt;0,G360,IF(P360&lt;O360,G360,B360))</f>
        <v>7.9829166135929137</v>
      </c>
      <c r="R360" s="44">
        <f ca="1">IF(N360&lt;0,J360,IF(P360&lt;O360,J360,C360))</f>
        <v>3.9676633186741719</v>
      </c>
      <c r="S360" s="44">
        <f t="shared" ca="1" si="77"/>
        <v>-95.997616835990527</v>
      </c>
    </row>
    <row r="361" spans="1:19" x14ac:dyDescent="0.4">
      <c r="A361" s="42">
        <v>360</v>
      </c>
      <c r="B361" s="41">
        <f t="shared" ca="1" si="66"/>
        <v>7.9829166135929137</v>
      </c>
      <c r="C361" s="41">
        <f t="shared" ca="1" si="67"/>
        <v>3.9676633186741719</v>
      </c>
      <c r="D361" s="41">
        <f t="shared" ca="1" si="68"/>
        <v>-95.997616835990527</v>
      </c>
      <c r="E361" s="42">
        <f t="shared" ca="1" si="69"/>
        <v>-0.17705046466122409</v>
      </c>
      <c r="F361" s="42">
        <v>0.5</v>
      </c>
      <c r="G361" s="43">
        <f t="shared" ca="1" si="70"/>
        <v>7.8943913812623014</v>
      </c>
      <c r="H361" s="42">
        <f t="shared" ca="1" si="71"/>
        <v>-0.71900504554463263</v>
      </c>
      <c r="I361" s="42">
        <v>0.5</v>
      </c>
      <c r="J361" s="43">
        <f t="shared" ca="1" si="72"/>
        <v>3.6081607959018553</v>
      </c>
      <c r="K361" s="43">
        <f t="shared" ca="1" si="73"/>
        <v>-95.681770895911782</v>
      </c>
      <c r="L361" s="42">
        <f t="shared" si="65"/>
        <v>3.367467385176033E-17</v>
      </c>
      <c r="M361" s="42">
        <f ca="1">K361-D361</f>
        <v>0.315845940078745</v>
      </c>
      <c r="N361" s="42">
        <f t="shared" ca="1" si="74"/>
        <v>9379331822756000</v>
      </c>
      <c r="O361" s="42">
        <f t="shared" ca="1" si="75"/>
        <v>0</v>
      </c>
      <c r="P361" s="42">
        <f t="shared" ca="1" si="76"/>
        <v>0.25894534757276022</v>
      </c>
      <c r="Q361" s="44">
        <f ca="1">IF(M361&lt;0,G361,IF(P361&lt;O361,G361,B361))</f>
        <v>7.9829166135929137</v>
      </c>
      <c r="R361" s="44">
        <f ca="1">IF(N361&lt;0,J361,IF(P361&lt;O361,J361,C361))</f>
        <v>3.9676633186741719</v>
      </c>
      <c r="S361" s="44">
        <f t="shared" ca="1" si="77"/>
        <v>-95.997616835990527</v>
      </c>
    </row>
    <row r="362" spans="1:19" x14ac:dyDescent="0.4">
      <c r="A362" s="42">
        <v>361</v>
      </c>
      <c r="B362" s="41">
        <f t="shared" ca="1" si="66"/>
        <v>7.9829166135929137</v>
      </c>
      <c r="C362" s="41">
        <f t="shared" ca="1" si="67"/>
        <v>3.9676633186741719</v>
      </c>
      <c r="D362" s="41">
        <f t="shared" ca="1" si="68"/>
        <v>-95.997616835990527</v>
      </c>
      <c r="E362" s="42">
        <f t="shared" ca="1" si="69"/>
        <v>0.67871568226148993</v>
      </c>
      <c r="F362" s="42">
        <v>0.5</v>
      </c>
      <c r="G362" s="43">
        <f t="shared" ca="1" si="70"/>
        <v>8.322274454723658</v>
      </c>
      <c r="H362" s="42">
        <f t="shared" ca="1" si="71"/>
        <v>-9.3902099819161533E-2</v>
      </c>
      <c r="I362" s="42">
        <v>0.5</v>
      </c>
      <c r="J362" s="43">
        <f t="shared" ca="1" si="72"/>
        <v>3.920712268764591</v>
      </c>
      <c r="K362" s="43">
        <f t="shared" ca="1" si="73"/>
        <v>-95.883566087183652</v>
      </c>
      <c r="L362" s="42">
        <f t="shared" si="65"/>
        <v>3.0307206466584298E-17</v>
      </c>
      <c r="M362" s="42">
        <f ca="1">K362-D362</f>
        <v>0.11405074880687494</v>
      </c>
      <c r="N362" s="42">
        <f t="shared" ca="1" si="74"/>
        <v>3763156097300602</v>
      </c>
      <c r="O362" s="42">
        <f t="shared" ca="1" si="75"/>
        <v>0</v>
      </c>
      <c r="P362" s="42">
        <f t="shared" ca="1" si="76"/>
        <v>0.70131198379173476</v>
      </c>
      <c r="Q362" s="44">
        <f ca="1">IF(M362&lt;0,G362,IF(P362&lt;O362,G362,B362))</f>
        <v>7.9829166135929137</v>
      </c>
      <c r="R362" s="44">
        <f ca="1">IF(N362&lt;0,J362,IF(P362&lt;O362,J362,C362))</f>
        <v>3.9676633186741719</v>
      </c>
      <c r="S362" s="44">
        <f t="shared" ca="1" si="77"/>
        <v>-95.997616835990527</v>
      </c>
    </row>
    <row r="363" spans="1:19" x14ac:dyDescent="0.4">
      <c r="A363" s="42">
        <v>362</v>
      </c>
      <c r="B363" s="41">
        <f t="shared" ca="1" si="66"/>
        <v>7.9829166135929137</v>
      </c>
      <c r="C363" s="41">
        <f t="shared" ca="1" si="67"/>
        <v>3.9676633186741719</v>
      </c>
      <c r="D363" s="41">
        <f t="shared" ca="1" si="68"/>
        <v>-95.997616835990527</v>
      </c>
      <c r="E363" s="42">
        <f t="shared" ca="1" si="69"/>
        <v>0.91372552361588211</v>
      </c>
      <c r="F363" s="42">
        <v>0.5</v>
      </c>
      <c r="G363" s="43">
        <f t="shared" ca="1" si="70"/>
        <v>8.439779375400855</v>
      </c>
      <c r="H363" s="42">
        <f t="shared" ca="1" si="71"/>
        <v>0.54825750553707064</v>
      </c>
      <c r="I363" s="42">
        <v>0.5</v>
      </c>
      <c r="J363" s="43">
        <f t="shared" ca="1" si="72"/>
        <v>4.2417920714427071</v>
      </c>
      <c r="K363" s="43">
        <f t="shared" ca="1" si="73"/>
        <v>-95.689667289346914</v>
      </c>
      <c r="L363" s="42">
        <f t="shared" si="65"/>
        <v>2.7276485819925873E-17</v>
      </c>
      <c r="M363" s="42">
        <f ca="1">K363-D363</f>
        <v>0.30794954664361285</v>
      </c>
      <c r="N363" s="42">
        <f t="shared" ca="1" si="74"/>
        <v>1.1289927473672258E+16</v>
      </c>
      <c r="O363" s="42">
        <f t="shared" ca="1" si="75"/>
        <v>0</v>
      </c>
      <c r="P363" s="42">
        <f t="shared" ca="1" si="76"/>
        <v>0.20490601064949732</v>
      </c>
      <c r="Q363" s="44">
        <f ca="1">IF(M363&lt;0,G363,IF(P363&lt;O363,G363,B363))</f>
        <v>7.9829166135929137</v>
      </c>
      <c r="R363" s="44">
        <f ca="1">IF(N363&lt;0,J363,IF(P363&lt;O363,J363,C363))</f>
        <v>3.9676633186741719</v>
      </c>
      <c r="S363" s="44">
        <f t="shared" ca="1" si="77"/>
        <v>-95.997616835990527</v>
      </c>
    </row>
    <row r="364" spans="1:19" x14ac:dyDescent="0.4">
      <c r="A364" s="42">
        <v>363</v>
      </c>
      <c r="B364" s="41">
        <f t="shared" ca="1" si="66"/>
        <v>7.9829166135929137</v>
      </c>
      <c r="C364" s="41">
        <f t="shared" ca="1" si="67"/>
        <v>3.9676633186741719</v>
      </c>
      <c r="D364" s="41">
        <f t="shared" ca="1" si="68"/>
        <v>-95.997616835990527</v>
      </c>
      <c r="E364" s="42">
        <f t="shared" ca="1" si="69"/>
        <v>-0.61139976380700523</v>
      </c>
      <c r="F364" s="42">
        <v>0.5</v>
      </c>
      <c r="G364" s="43">
        <f t="shared" ca="1" si="70"/>
        <v>7.6772167316894109</v>
      </c>
      <c r="H364" s="42">
        <f t="shared" ca="1" si="71"/>
        <v>0.66699218761820611</v>
      </c>
      <c r="I364" s="42">
        <v>0.5</v>
      </c>
      <c r="J364" s="43">
        <f t="shared" ca="1" si="72"/>
        <v>4.3011594124832753</v>
      </c>
      <c r="K364" s="43">
        <f t="shared" ca="1" si="73"/>
        <v>-95.714416978244202</v>
      </c>
      <c r="L364" s="42">
        <f t="shared" si="65"/>
        <v>2.4548837237933288E-17</v>
      </c>
      <c r="M364" s="42">
        <f ca="1">K364-D364</f>
        <v>0.28319985774632528</v>
      </c>
      <c r="N364" s="42">
        <f t="shared" ca="1" si="74"/>
        <v>1.153618214180507E+16</v>
      </c>
      <c r="O364" s="42">
        <f t="shared" ca="1" si="75"/>
        <v>0</v>
      </c>
      <c r="P364" s="42">
        <f t="shared" ca="1" si="76"/>
        <v>0.12448692268215833</v>
      </c>
      <c r="Q364" s="44">
        <f ca="1">IF(M364&lt;0,G364,IF(P364&lt;O364,G364,B364))</f>
        <v>7.9829166135929137</v>
      </c>
      <c r="R364" s="44">
        <f ca="1">IF(N364&lt;0,J364,IF(P364&lt;O364,J364,C364))</f>
        <v>3.9676633186741719</v>
      </c>
      <c r="S364" s="44">
        <f t="shared" ca="1" si="77"/>
        <v>-95.997616835990527</v>
      </c>
    </row>
    <row r="365" spans="1:19" x14ac:dyDescent="0.4">
      <c r="A365" s="42">
        <v>364</v>
      </c>
      <c r="B365" s="41">
        <f t="shared" ca="1" si="66"/>
        <v>7.9829166135929137</v>
      </c>
      <c r="C365" s="41">
        <f t="shared" ca="1" si="67"/>
        <v>3.9676633186741719</v>
      </c>
      <c r="D365" s="41">
        <f t="shared" ca="1" si="68"/>
        <v>-95.997616835990527</v>
      </c>
      <c r="E365" s="42">
        <f t="shared" ca="1" si="69"/>
        <v>-0.93161300141558101</v>
      </c>
      <c r="F365" s="42">
        <v>0.5</v>
      </c>
      <c r="G365" s="43">
        <f t="shared" ca="1" si="70"/>
        <v>7.5171101128851232</v>
      </c>
      <c r="H365" s="42">
        <f t="shared" ca="1" si="71"/>
        <v>0.51645392450484695</v>
      </c>
      <c r="I365" s="42">
        <v>0.5</v>
      </c>
      <c r="J365" s="43">
        <f t="shared" ca="1" si="72"/>
        <v>4.2258902809265955</v>
      </c>
      <c r="K365" s="43">
        <f t="shared" ca="1" si="73"/>
        <v>-95.664764518887992</v>
      </c>
      <c r="L365" s="42">
        <f t="shared" si="65"/>
        <v>2.2093953514139959E-17</v>
      </c>
      <c r="M365" s="42">
        <f ca="1">K365-D365</f>
        <v>0.33285231710253527</v>
      </c>
      <c r="N365" s="42">
        <f t="shared" ca="1" si="74"/>
        <v>1.5065312638116684E+16</v>
      </c>
      <c r="O365" s="42">
        <f t="shared" ca="1" si="75"/>
        <v>0</v>
      </c>
      <c r="P365" s="42">
        <f t="shared" ca="1" si="76"/>
        <v>0.88672831686612141</v>
      </c>
      <c r="Q365" s="44">
        <f ca="1">IF(M365&lt;0,G365,IF(P365&lt;O365,G365,B365))</f>
        <v>7.9829166135929137</v>
      </c>
      <c r="R365" s="44">
        <f ca="1">IF(N365&lt;0,J365,IF(P365&lt;O365,J365,C365))</f>
        <v>3.9676633186741719</v>
      </c>
      <c r="S365" s="44">
        <f t="shared" ca="1" si="77"/>
        <v>-95.997616835990527</v>
      </c>
    </row>
    <row r="366" spans="1:19" x14ac:dyDescent="0.4">
      <c r="A366" s="42">
        <v>365</v>
      </c>
      <c r="B366" s="41">
        <f t="shared" ca="1" si="66"/>
        <v>7.9829166135929137</v>
      </c>
      <c r="C366" s="41">
        <f t="shared" ca="1" si="67"/>
        <v>3.9676633186741719</v>
      </c>
      <c r="D366" s="41">
        <f t="shared" ca="1" si="68"/>
        <v>-95.997616835990527</v>
      </c>
      <c r="E366" s="42">
        <f t="shared" ca="1" si="69"/>
        <v>-0.87660267733880359</v>
      </c>
      <c r="F366" s="42">
        <v>0.5</v>
      </c>
      <c r="G366" s="43">
        <f t="shared" ca="1" si="70"/>
        <v>7.5446152749235118</v>
      </c>
      <c r="H366" s="42">
        <f t="shared" ca="1" si="71"/>
        <v>-0.69205989819170965</v>
      </c>
      <c r="I366" s="42">
        <v>0.5</v>
      </c>
      <c r="J366" s="43">
        <f t="shared" ca="1" si="72"/>
        <v>3.6216333695783169</v>
      </c>
      <c r="K366" s="43">
        <f t="shared" ca="1" si="73"/>
        <v>-95.506302138133691</v>
      </c>
      <c r="L366" s="42">
        <f t="shared" si="65"/>
        <v>1.988455816272597E-17</v>
      </c>
      <c r="M366" s="42">
        <f ca="1">K366-D366</f>
        <v>0.49131469785683635</v>
      </c>
      <c r="N366" s="42">
        <f t="shared" ca="1" si="74"/>
        <v>2.4708353780664648E+16</v>
      </c>
      <c r="O366" s="42">
        <f t="shared" ca="1" si="75"/>
        <v>0</v>
      </c>
      <c r="P366" s="42">
        <f t="shared" ca="1" si="76"/>
        <v>5.0137778509321773E-2</v>
      </c>
      <c r="Q366" s="44">
        <f ca="1">IF(M366&lt;0,G366,IF(P366&lt;O366,G366,B366))</f>
        <v>7.9829166135929137</v>
      </c>
      <c r="R366" s="44">
        <f ca="1">IF(N366&lt;0,J366,IF(P366&lt;O366,J366,C366))</f>
        <v>3.9676633186741719</v>
      </c>
      <c r="S366" s="44">
        <f t="shared" ca="1" si="77"/>
        <v>-95.997616835990527</v>
      </c>
    </row>
    <row r="367" spans="1:19" x14ac:dyDescent="0.4">
      <c r="A367" s="42">
        <v>366</v>
      </c>
      <c r="B367" s="41">
        <f t="shared" ca="1" si="66"/>
        <v>7.9829166135929137</v>
      </c>
      <c r="C367" s="41">
        <f t="shared" ca="1" si="67"/>
        <v>3.9676633186741719</v>
      </c>
      <c r="D367" s="41">
        <f t="shared" ca="1" si="68"/>
        <v>-95.997616835990527</v>
      </c>
      <c r="E367" s="42">
        <f t="shared" ca="1" si="69"/>
        <v>3.5191276284717299E-2</v>
      </c>
      <c r="F367" s="42">
        <v>0.5</v>
      </c>
      <c r="G367" s="43">
        <f t="shared" ca="1" si="70"/>
        <v>8.0005122517352731</v>
      </c>
      <c r="H367" s="42">
        <f t="shared" ca="1" si="71"/>
        <v>-0.61042869511461872</v>
      </c>
      <c r="I367" s="42">
        <v>0.5</v>
      </c>
      <c r="J367" s="43">
        <f t="shared" ca="1" si="72"/>
        <v>3.6624489711168624</v>
      </c>
      <c r="K367" s="43">
        <f t="shared" ca="1" si="73"/>
        <v>-95.772118343398034</v>
      </c>
      <c r="L367" s="42">
        <f t="shared" si="65"/>
        <v>1.7896102346453366E-17</v>
      </c>
      <c r="M367" s="42">
        <f ca="1">K367-D367</f>
        <v>0.22549849259249299</v>
      </c>
      <c r="N367" s="42">
        <f t="shared" ca="1" si="74"/>
        <v>1.2600424842629608E+16</v>
      </c>
      <c r="O367" s="42">
        <f t="shared" ca="1" si="75"/>
        <v>0</v>
      </c>
      <c r="P367" s="42">
        <f t="shared" ca="1" si="76"/>
        <v>0.83060873712422123</v>
      </c>
      <c r="Q367" s="44">
        <f ca="1">IF(M367&lt;0,G367,IF(P367&lt;O367,G367,B367))</f>
        <v>7.9829166135929137</v>
      </c>
      <c r="R367" s="44">
        <f ca="1">IF(N367&lt;0,J367,IF(P367&lt;O367,J367,C367))</f>
        <v>3.9676633186741719</v>
      </c>
      <c r="S367" s="44">
        <f t="shared" ca="1" si="77"/>
        <v>-95.997616835990527</v>
      </c>
    </row>
    <row r="368" spans="1:19" x14ac:dyDescent="0.4">
      <c r="A368" s="42">
        <v>367</v>
      </c>
      <c r="B368" s="41">
        <f t="shared" ca="1" si="66"/>
        <v>7.9829166135929137</v>
      </c>
      <c r="C368" s="41">
        <f t="shared" ca="1" si="67"/>
        <v>3.9676633186741719</v>
      </c>
      <c r="D368" s="41">
        <f t="shared" ca="1" si="68"/>
        <v>-95.997616835990527</v>
      </c>
      <c r="E368" s="42">
        <f t="shared" ca="1" si="69"/>
        <v>-0.73322523634124193</v>
      </c>
      <c r="F368" s="42">
        <v>0.5</v>
      </c>
      <c r="G368" s="43">
        <f t="shared" ca="1" si="70"/>
        <v>7.6163039954222924</v>
      </c>
      <c r="H368" s="42">
        <f t="shared" ca="1" si="71"/>
        <v>-0.689743218248418</v>
      </c>
      <c r="I368" s="42">
        <v>0.5</v>
      </c>
      <c r="J368" s="43">
        <f t="shared" ca="1" si="72"/>
        <v>3.6227917095499631</v>
      </c>
      <c r="K368" s="43">
        <f t="shared" ca="1" si="73"/>
        <v>-95.568205187302624</v>
      </c>
      <c r="L368" s="42">
        <f t="shared" si="65"/>
        <v>1.6106492111808033E-17</v>
      </c>
      <c r="M368" s="42">
        <f ca="1">K368-D368</f>
        <v>0.42941164868790338</v>
      </c>
      <c r="N368" s="42">
        <f t="shared" ca="1" si="74"/>
        <v>2.6660780367755684E+16</v>
      </c>
      <c r="O368" s="42">
        <f t="shared" ca="1" si="75"/>
        <v>0</v>
      </c>
      <c r="P368" s="42">
        <f t="shared" ca="1" si="76"/>
        <v>4.3357067707461061E-2</v>
      </c>
      <c r="Q368" s="44">
        <f ca="1">IF(M368&lt;0,G368,IF(P368&lt;O368,G368,B368))</f>
        <v>7.9829166135929137</v>
      </c>
      <c r="R368" s="44">
        <f ca="1">IF(N368&lt;0,J368,IF(P368&lt;O368,J368,C368))</f>
        <v>3.9676633186741719</v>
      </c>
      <c r="S368" s="44">
        <f t="shared" ca="1" si="77"/>
        <v>-95.997616835990527</v>
      </c>
    </row>
    <row r="369" spans="1:19" x14ac:dyDescent="0.4">
      <c r="A369" s="42">
        <v>368</v>
      </c>
      <c r="B369" s="41">
        <f t="shared" ca="1" si="66"/>
        <v>7.9829166135929137</v>
      </c>
      <c r="C369" s="41">
        <f t="shared" ca="1" si="67"/>
        <v>3.9676633186741719</v>
      </c>
      <c r="D369" s="41">
        <f t="shared" ca="1" si="68"/>
        <v>-95.997616835990527</v>
      </c>
      <c r="E369" s="42">
        <f t="shared" ca="1" si="69"/>
        <v>-0.14503173838851491</v>
      </c>
      <c r="F369" s="42">
        <v>0.5</v>
      </c>
      <c r="G369" s="43">
        <f t="shared" ca="1" si="70"/>
        <v>7.9104007443986566</v>
      </c>
      <c r="H369" s="42">
        <f t="shared" ca="1" si="71"/>
        <v>-0.41409449261291931</v>
      </c>
      <c r="I369" s="42">
        <v>0.5</v>
      </c>
      <c r="J369" s="43">
        <f t="shared" ca="1" si="72"/>
        <v>3.7606160723677124</v>
      </c>
      <c r="K369" s="43">
        <f t="shared" ca="1" si="73"/>
        <v>-95.877362643778369</v>
      </c>
      <c r="L369" s="42">
        <f t="shared" si="65"/>
        <v>1.449584290062723E-17</v>
      </c>
      <c r="M369" s="42">
        <f ca="1">K369-D369</f>
        <v>0.12025419221215827</v>
      </c>
      <c r="N369" s="42">
        <f t="shared" ca="1" si="74"/>
        <v>8295770934917825</v>
      </c>
      <c r="O369" s="42">
        <f t="shared" ca="1" si="75"/>
        <v>0</v>
      </c>
      <c r="P369" s="42">
        <f t="shared" ca="1" si="76"/>
        <v>0.54188783439482491</v>
      </c>
      <c r="Q369" s="44">
        <f ca="1">IF(M369&lt;0,G369,IF(P369&lt;O369,G369,B369))</f>
        <v>7.9829166135929137</v>
      </c>
      <c r="R369" s="44">
        <f ca="1">IF(N369&lt;0,J369,IF(P369&lt;O369,J369,C369))</f>
        <v>3.9676633186741719</v>
      </c>
      <c r="S369" s="44">
        <f t="shared" ca="1" si="77"/>
        <v>-95.997616835990527</v>
      </c>
    </row>
    <row r="370" spans="1:19" x14ac:dyDescent="0.4">
      <c r="A370" s="42">
        <v>369</v>
      </c>
      <c r="B370" s="41">
        <f t="shared" ca="1" si="66"/>
        <v>7.9829166135929137</v>
      </c>
      <c r="C370" s="41">
        <f t="shared" ca="1" si="67"/>
        <v>3.9676633186741719</v>
      </c>
      <c r="D370" s="41">
        <f t="shared" ca="1" si="68"/>
        <v>-95.997616835990527</v>
      </c>
      <c r="E370" s="42">
        <f t="shared" ca="1" si="69"/>
        <v>0.43365994865080637</v>
      </c>
      <c r="F370" s="42">
        <v>0.5</v>
      </c>
      <c r="G370" s="43">
        <f t="shared" ca="1" si="70"/>
        <v>8.199746587918316</v>
      </c>
      <c r="H370" s="42">
        <f t="shared" ca="1" si="71"/>
        <v>-0.924989431128449</v>
      </c>
      <c r="I370" s="42">
        <v>0.5</v>
      </c>
      <c r="J370" s="43">
        <f t="shared" ca="1" si="72"/>
        <v>3.5051686031099472</v>
      </c>
      <c r="K370" s="43">
        <f t="shared" ca="1" si="73"/>
        <v>-95.470385077918678</v>
      </c>
      <c r="L370" s="42">
        <f t="shared" si="65"/>
        <v>1.3046258610564508E-17</v>
      </c>
      <c r="M370" s="42">
        <f ca="1">K370-D370</f>
        <v>0.5272317580718493</v>
      </c>
      <c r="N370" s="42">
        <f t="shared" ca="1" si="74"/>
        <v>4.0412487120630224E+16</v>
      </c>
      <c r="O370" s="42">
        <f t="shared" ca="1" si="75"/>
        <v>0</v>
      </c>
      <c r="P370" s="42">
        <f t="shared" ca="1" si="76"/>
        <v>7.6598519793883435E-2</v>
      </c>
      <c r="Q370" s="44">
        <f ca="1">IF(M370&lt;0,G370,IF(P370&lt;O370,G370,B370))</f>
        <v>7.9829166135929137</v>
      </c>
      <c r="R370" s="44">
        <f ca="1">IF(N370&lt;0,J370,IF(P370&lt;O370,J370,C370))</f>
        <v>3.9676633186741719</v>
      </c>
      <c r="S370" s="44">
        <f t="shared" ca="1" si="77"/>
        <v>-95.997616835990527</v>
      </c>
    </row>
    <row r="371" spans="1:19" x14ac:dyDescent="0.4">
      <c r="A371" s="42">
        <v>370</v>
      </c>
      <c r="B371" s="41">
        <f t="shared" ca="1" si="66"/>
        <v>7.9829166135929137</v>
      </c>
      <c r="C371" s="41">
        <f t="shared" ca="1" si="67"/>
        <v>3.9676633186741719</v>
      </c>
      <c r="D371" s="41">
        <f t="shared" ca="1" si="68"/>
        <v>-95.997616835990527</v>
      </c>
      <c r="E371" s="42">
        <f t="shared" ca="1" si="69"/>
        <v>0.81585636402117512</v>
      </c>
      <c r="F371" s="42">
        <v>0.5</v>
      </c>
      <c r="G371" s="43">
        <f t="shared" ca="1" si="70"/>
        <v>8.3908447956035008</v>
      </c>
      <c r="H371" s="42">
        <f t="shared" ca="1" si="71"/>
        <v>0.30146444173628462</v>
      </c>
      <c r="I371" s="42">
        <v>0.5</v>
      </c>
      <c r="J371" s="43">
        <f t="shared" ca="1" si="72"/>
        <v>4.1183955395423144</v>
      </c>
      <c r="K371" s="43">
        <f t="shared" ca="1" si="73"/>
        <v>-95.819205338182627</v>
      </c>
      <c r="L371" s="42">
        <f t="shared" si="65"/>
        <v>1.1741632749508056E-17</v>
      </c>
      <c r="M371" s="42">
        <f ca="1">K371-D371</f>
        <v>0.17841149780790033</v>
      </c>
      <c r="N371" s="42">
        <f t="shared" ca="1" si="74"/>
        <v>1.519477755897069E+16</v>
      </c>
      <c r="O371" s="42">
        <f t="shared" ca="1" si="75"/>
        <v>0</v>
      </c>
      <c r="P371" s="42">
        <f t="shared" ca="1" si="76"/>
        <v>5.5954614340920195E-2</v>
      </c>
      <c r="Q371" s="44">
        <f ca="1">IF(M371&lt;0,G371,IF(P371&lt;O371,G371,B371))</f>
        <v>7.9829166135929137</v>
      </c>
      <c r="R371" s="44">
        <f ca="1">IF(N371&lt;0,J371,IF(P371&lt;O371,J371,C371))</f>
        <v>3.9676633186741719</v>
      </c>
      <c r="S371" s="44">
        <f t="shared" ca="1" si="77"/>
        <v>-95.997616835990527</v>
      </c>
    </row>
    <row r="372" spans="1:19" x14ac:dyDescent="0.4">
      <c r="A372" s="42">
        <v>371</v>
      </c>
      <c r="B372" s="41">
        <f t="shared" ca="1" si="66"/>
        <v>7.9829166135929137</v>
      </c>
      <c r="C372" s="41">
        <f t="shared" ca="1" si="67"/>
        <v>3.9676633186741719</v>
      </c>
      <c r="D372" s="41">
        <f t="shared" ca="1" si="68"/>
        <v>-95.997616835990527</v>
      </c>
      <c r="E372" s="42">
        <f t="shared" ca="1" si="69"/>
        <v>0.2194578497845745</v>
      </c>
      <c r="F372" s="42">
        <v>0.5</v>
      </c>
      <c r="G372" s="43">
        <f t="shared" ca="1" si="70"/>
        <v>8.0926455384852005</v>
      </c>
      <c r="H372" s="42">
        <f t="shared" ca="1" si="71"/>
        <v>-0.14147723179120231</v>
      </c>
      <c r="I372" s="42">
        <v>0.5</v>
      </c>
      <c r="J372" s="43">
        <f t="shared" ca="1" si="72"/>
        <v>3.8969247027785707</v>
      </c>
      <c r="K372" s="43">
        <f t="shared" ca="1" si="73"/>
        <v>-95.970167770404217</v>
      </c>
      <c r="L372" s="42">
        <f t="shared" si="65"/>
        <v>1.0567469474557252E-17</v>
      </c>
      <c r="M372" s="42">
        <f ca="1">K372-D372</f>
        <v>2.7449065586310439E-2</v>
      </c>
      <c r="N372" s="42">
        <f t="shared" ca="1" si="74"/>
        <v>2597506020944572.5</v>
      </c>
      <c r="O372" s="42">
        <f t="shared" ca="1" si="75"/>
        <v>0</v>
      </c>
      <c r="P372" s="42">
        <f t="shared" ca="1" si="76"/>
        <v>0.74498791029558153</v>
      </c>
      <c r="Q372" s="44">
        <f ca="1">IF(M372&lt;0,G372,IF(P372&lt;O372,G372,B372))</f>
        <v>7.9829166135929137</v>
      </c>
      <c r="R372" s="44">
        <f ca="1">IF(N372&lt;0,J372,IF(P372&lt;O372,J372,C372))</f>
        <v>3.9676633186741719</v>
      </c>
      <c r="S372" s="44">
        <f t="shared" ca="1" si="77"/>
        <v>-95.997616835990527</v>
      </c>
    </row>
    <row r="373" spans="1:19" x14ac:dyDescent="0.4">
      <c r="A373" s="42">
        <v>372</v>
      </c>
      <c r="B373" s="41">
        <f t="shared" ca="1" si="66"/>
        <v>7.9829166135929137</v>
      </c>
      <c r="C373" s="41">
        <f t="shared" ca="1" si="67"/>
        <v>3.9676633186741719</v>
      </c>
      <c r="D373" s="41">
        <f t="shared" ca="1" si="68"/>
        <v>-95.997616835990527</v>
      </c>
      <c r="E373" s="42">
        <f t="shared" ca="1" si="69"/>
        <v>0.27810809512825885</v>
      </c>
      <c r="F373" s="42">
        <v>0.5</v>
      </c>
      <c r="G373" s="43">
        <f t="shared" ca="1" si="70"/>
        <v>8.121970661157043</v>
      </c>
      <c r="H373" s="42">
        <f t="shared" ca="1" si="71"/>
        <v>0.73893228943988865</v>
      </c>
      <c r="I373" s="42">
        <v>0.5</v>
      </c>
      <c r="J373" s="43">
        <f t="shared" ca="1" si="72"/>
        <v>4.337129463394116</v>
      </c>
      <c r="K373" s="43">
        <f t="shared" ca="1" si="73"/>
        <v>-95.757810607640096</v>
      </c>
      <c r="L373" s="42">
        <f t="shared" si="65"/>
        <v>9.5107225271015278E-18</v>
      </c>
      <c r="M373" s="42">
        <f ca="1">K373-D373</f>
        <v>0.23980622835043164</v>
      </c>
      <c r="N373" s="42">
        <f t="shared" ca="1" si="74"/>
        <v>2.5214301822714892E+16</v>
      </c>
      <c r="O373" s="42">
        <f t="shared" ca="1" si="75"/>
        <v>0</v>
      </c>
      <c r="P373" s="42">
        <f t="shared" ca="1" si="76"/>
        <v>0.86101876951810175</v>
      </c>
      <c r="Q373" s="44">
        <f ca="1">IF(M373&lt;0,G373,IF(P373&lt;O373,G373,B373))</f>
        <v>7.9829166135929137</v>
      </c>
      <c r="R373" s="44">
        <f ca="1">IF(N373&lt;0,J373,IF(P373&lt;O373,J373,C373))</f>
        <v>3.9676633186741719</v>
      </c>
      <c r="S373" s="44">
        <f t="shared" ca="1" si="77"/>
        <v>-95.997616835990527</v>
      </c>
    </row>
    <row r="374" spans="1:19" x14ac:dyDescent="0.4">
      <c r="A374" s="42">
        <v>373</v>
      </c>
      <c r="B374" s="41">
        <f t="shared" ca="1" si="66"/>
        <v>7.9829166135929137</v>
      </c>
      <c r="C374" s="41">
        <f t="shared" ca="1" si="67"/>
        <v>3.9676633186741719</v>
      </c>
      <c r="D374" s="41">
        <f t="shared" ca="1" si="68"/>
        <v>-95.997616835990527</v>
      </c>
      <c r="E374" s="42">
        <f t="shared" ca="1" si="69"/>
        <v>0.41605494532310927</v>
      </c>
      <c r="F374" s="42">
        <v>0.5</v>
      </c>
      <c r="G374" s="43">
        <f t="shared" ca="1" si="70"/>
        <v>8.1909440862544685</v>
      </c>
      <c r="H374" s="42">
        <f t="shared" ca="1" si="71"/>
        <v>-0.27130448906368465</v>
      </c>
      <c r="I374" s="42">
        <v>0.5</v>
      </c>
      <c r="J374" s="43">
        <f t="shared" ca="1" si="72"/>
        <v>3.8320110741423297</v>
      </c>
      <c r="K374" s="43">
        <f t="shared" ca="1" si="73"/>
        <v>-95.907099797502823</v>
      </c>
      <c r="L374" s="42">
        <f t="shared" si="65"/>
        <v>8.5596502743913766E-18</v>
      </c>
      <c r="M374" s="42">
        <f ca="1">K374-D374</f>
        <v>9.0517038487703871E-2</v>
      </c>
      <c r="N374" s="42">
        <f t="shared" ca="1" si="74"/>
        <v>1.0574852428084742E+16</v>
      </c>
      <c r="O374" s="42">
        <f t="shared" ca="1" si="75"/>
        <v>0</v>
      </c>
      <c r="P374" s="42">
        <f t="shared" ca="1" si="76"/>
        <v>0.27249831399765478</v>
      </c>
      <c r="Q374" s="44">
        <f ca="1">IF(M374&lt;0,G374,IF(P374&lt;O374,G374,B374))</f>
        <v>7.9829166135929137</v>
      </c>
      <c r="R374" s="44">
        <f ca="1">IF(N374&lt;0,J374,IF(P374&lt;O374,J374,C374))</f>
        <v>3.9676633186741719</v>
      </c>
      <c r="S374" s="44">
        <f t="shared" ca="1" si="77"/>
        <v>-95.997616835990527</v>
      </c>
    </row>
    <row r="375" spans="1:19" x14ac:dyDescent="0.4">
      <c r="A375" s="42">
        <v>374</v>
      </c>
      <c r="B375" s="41">
        <f t="shared" ca="1" si="66"/>
        <v>7.9829166135929137</v>
      </c>
      <c r="C375" s="41">
        <f t="shared" ca="1" si="67"/>
        <v>3.9676633186741719</v>
      </c>
      <c r="D375" s="41">
        <f t="shared" ca="1" si="68"/>
        <v>-95.997616835990527</v>
      </c>
      <c r="E375" s="42">
        <f t="shared" ca="1" si="69"/>
        <v>0.73796056262372467</v>
      </c>
      <c r="F375" s="42">
        <v>0.5</v>
      </c>
      <c r="G375" s="43">
        <f t="shared" ca="1" si="70"/>
        <v>8.351896894904776</v>
      </c>
      <c r="H375" s="42">
        <f t="shared" ca="1" si="71"/>
        <v>1.6845943825982701E-4</v>
      </c>
      <c r="I375" s="42">
        <v>0.5</v>
      </c>
      <c r="J375" s="43">
        <f t="shared" ca="1" si="72"/>
        <v>3.9677475483933016</v>
      </c>
      <c r="K375" s="43">
        <f t="shared" ca="1" si="73"/>
        <v>-95.874088134087089</v>
      </c>
      <c r="L375" s="42">
        <f t="shared" si="65"/>
        <v>7.7036852469522389E-18</v>
      </c>
      <c r="M375" s="42">
        <f ca="1">K375-D375</f>
        <v>0.12352870190343879</v>
      </c>
      <c r="N375" s="42">
        <f t="shared" ca="1" si="74"/>
        <v>1.603501414499115E+16</v>
      </c>
      <c r="O375" s="42">
        <f t="shared" ca="1" si="75"/>
        <v>0</v>
      </c>
      <c r="P375" s="42">
        <f t="shared" ca="1" si="76"/>
        <v>9.7159691137552961E-2</v>
      </c>
      <c r="Q375" s="44">
        <f ca="1">IF(M375&lt;0,G375,IF(P375&lt;O375,G375,B375))</f>
        <v>7.9829166135929137</v>
      </c>
      <c r="R375" s="44">
        <f ca="1">IF(N375&lt;0,J375,IF(P375&lt;O375,J375,C375))</f>
        <v>3.9676633186741719</v>
      </c>
      <c r="S375" s="44">
        <f t="shared" ca="1" si="77"/>
        <v>-95.997616835990527</v>
      </c>
    </row>
    <row r="376" spans="1:19" x14ac:dyDescent="0.4">
      <c r="A376" s="42">
        <v>375</v>
      </c>
      <c r="B376" s="41">
        <f t="shared" ca="1" si="66"/>
        <v>7.9829166135929137</v>
      </c>
      <c r="C376" s="41">
        <f t="shared" ca="1" si="67"/>
        <v>3.9676633186741719</v>
      </c>
      <c r="D376" s="41">
        <f t="shared" ca="1" si="68"/>
        <v>-95.997616835990527</v>
      </c>
      <c r="E376" s="42">
        <f t="shared" ca="1" si="69"/>
        <v>-0.28900774889642888</v>
      </c>
      <c r="F376" s="42">
        <v>0.5</v>
      </c>
      <c r="G376" s="43">
        <f t="shared" ca="1" si="70"/>
        <v>7.8384127391446992</v>
      </c>
      <c r="H376" s="42">
        <f t="shared" ca="1" si="71"/>
        <v>0.82935318553825343</v>
      </c>
      <c r="I376" s="42">
        <v>0.5</v>
      </c>
      <c r="J376" s="43">
        <f t="shared" ca="1" si="72"/>
        <v>4.3823399114432986</v>
      </c>
      <c r="K376" s="43">
        <f t="shared" ca="1" si="73"/>
        <v>-95.681521941364338</v>
      </c>
      <c r="L376" s="42">
        <f t="shared" si="65"/>
        <v>6.9333167222570144E-18</v>
      </c>
      <c r="M376" s="42">
        <f ca="1">K376-D376</f>
        <v>0.31609489462618967</v>
      </c>
      <c r="N376" s="42">
        <f t="shared" ca="1" si="74"/>
        <v>4.559071902938984E+16</v>
      </c>
      <c r="O376" s="42">
        <f t="shared" ca="1" si="75"/>
        <v>0</v>
      </c>
      <c r="P376" s="42">
        <f t="shared" ca="1" si="76"/>
        <v>0.35311274927415803</v>
      </c>
      <c r="Q376" s="44">
        <f ca="1">IF(M376&lt;0,G376,IF(P376&lt;O376,G376,B376))</f>
        <v>7.9829166135929137</v>
      </c>
      <c r="R376" s="44">
        <f ca="1">IF(N376&lt;0,J376,IF(P376&lt;O376,J376,C376))</f>
        <v>3.9676633186741719</v>
      </c>
      <c r="S376" s="44">
        <f t="shared" ca="1" si="77"/>
        <v>-95.997616835990527</v>
      </c>
    </row>
    <row r="377" spans="1:19" x14ac:dyDescent="0.4">
      <c r="A377" s="42">
        <v>376</v>
      </c>
      <c r="B377" s="41">
        <f t="shared" ca="1" si="66"/>
        <v>7.9829166135929137</v>
      </c>
      <c r="C377" s="41">
        <f t="shared" ca="1" si="67"/>
        <v>3.9676633186741719</v>
      </c>
      <c r="D377" s="41">
        <f t="shared" ca="1" si="68"/>
        <v>-95.997616835990527</v>
      </c>
      <c r="E377" s="42">
        <f t="shared" ca="1" si="69"/>
        <v>0.58568495860237446</v>
      </c>
      <c r="F377" s="42">
        <v>0.5</v>
      </c>
      <c r="G377" s="43">
        <f t="shared" ca="1" si="70"/>
        <v>8.2757590928941003</v>
      </c>
      <c r="H377" s="42">
        <f t="shared" ca="1" si="71"/>
        <v>-0.2175726051786635</v>
      </c>
      <c r="I377" s="42">
        <v>0.5</v>
      </c>
      <c r="J377" s="43">
        <f t="shared" ca="1" si="72"/>
        <v>3.8588770160848402</v>
      </c>
      <c r="K377" s="43">
        <f t="shared" ca="1" si="73"/>
        <v>-95.884125529507969</v>
      </c>
      <c r="L377" s="42">
        <f t="shared" si="65"/>
        <v>6.2399850500313131E-18</v>
      </c>
      <c r="M377" s="42">
        <f ca="1">K377-D377</f>
        <v>0.11349130648255823</v>
      </c>
      <c r="N377" s="42">
        <f t="shared" ca="1" si="74"/>
        <v>1.8187752946938344E+16</v>
      </c>
      <c r="O377" s="42">
        <f t="shared" ca="1" si="75"/>
        <v>0</v>
      </c>
      <c r="P377" s="42">
        <f t="shared" ca="1" si="76"/>
        <v>0.35247354583435009</v>
      </c>
      <c r="Q377" s="44">
        <f ca="1">IF(M377&lt;0,G377,IF(P377&lt;O377,G377,B377))</f>
        <v>7.9829166135929137</v>
      </c>
      <c r="R377" s="44">
        <f ca="1">IF(N377&lt;0,J377,IF(P377&lt;O377,J377,C377))</f>
        <v>3.9676633186741719</v>
      </c>
      <c r="S377" s="44">
        <f t="shared" ca="1" si="77"/>
        <v>-95.997616835990527</v>
      </c>
    </row>
    <row r="378" spans="1:19" x14ac:dyDescent="0.4">
      <c r="A378" s="42">
        <v>377</v>
      </c>
      <c r="B378" s="41">
        <f t="shared" ca="1" si="66"/>
        <v>7.9829166135929137</v>
      </c>
      <c r="C378" s="41">
        <f t="shared" ca="1" si="67"/>
        <v>3.9676633186741719</v>
      </c>
      <c r="D378" s="41">
        <f t="shared" ca="1" si="68"/>
        <v>-95.997616835990527</v>
      </c>
      <c r="E378" s="42">
        <f t="shared" ca="1" si="69"/>
        <v>-0.18636107596558293</v>
      </c>
      <c r="F378" s="42">
        <v>0.5</v>
      </c>
      <c r="G378" s="43">
        <f t="shared" ca="1" si="70"/>
        <v>7.8897360756101218</v>
      </c>
      <c r="H378" s="42">
        <f t="shared" ca="1" si="71"/>
        <v>0.37386936879042731</v>
      </c>
      <c r="I378" s="42">
        <v>0.5</v>
      </c>
      <c r="J378" s="43">
        <f t="shared" ca="1" si="72"/>
        <v>4.1545980030693856</v>
      </c>
      <c r="K378" s="43">
        <f t="shared" ca="1" si="73"/>
        <v>-95.940040781872057</v>
      </c>
      <c r="L378" s="42">
        <f t="shared" si="65"/>
        <v>5.6159865450281817E-18</v>
      </c>
      <c r="M378" s="42">
        <f ca="1">K378-D378</f>
        <v>5.7576054118470665E-2</v>
      </c>
      <c r="N378" s="42">
        <f t="shared" ca="1" si="74"/>
        <v>1.0252170951058028E+16</v>
      </c>
      <c r="O378" s="42">
        <f t="shared" ca="1" si="75"/>
        <v>0</v>
      </c>
      <c r="P378" s="42">
        <f t="shared" ca="1" si="76"/>
        <v>0.49353001195409518</v>
      </c>
      <c r="Q378" s="44">
        <f ca="1">IF(M378&lt;0,G378,IF(P378&lt;O378,G378,B378))</f>
        <v>7.9829166135929137</v>
      </c>
      <c r="R378" s="44">
        <f ca="1">IF(N378&lt;0,J378,IF(P378&lt;O378,J378,C378))</f>
        <v>3.9676633186741719</v>
      </c>
      <c r="S378" s="44">
        <f t="shared" ca="1" si="77"/>
        <v>-95.997616835990527</v>
      </c>
    </row>
    <row r="379" spans="1:19" x14ac:dyDescent="0.4">
      <c r="A379" s="42">
        <v>378</v>
      </c>
      <c r="B379" s="41">
        <f t="shared" ca="1" si="66"/>
        <v>7.9829166135929137</v>
      </c>
      <c r="C379" s="41">
        <f t="shared" ca="1" si="67"/>
        <v>3.9676633186741719</v>
      </c>
      <c r="D379" s="41">
        <f t="shared" ca="1" si="68"/>
        <v>-95.997616835990527</v>
      </c>
      <c r="E379" s="42">
        <f t="shared" ca="1" si="69"/>
        <v>-9.9127212372341456E-2</v>
      </c>
      <c r="F379" s="42">
        <v>0.5</v>
      </c>
      <c r="G379" s="43">
        <f t="shared" ca="1" si="70"/>
        <v>7.9333530074067431</v>
      </c>
      <c r="H379" s="42">
        <f t="shared" ca="1" si="71"/>
        <v>-0.91464935547771509</v>
      </c>
      <c r="I379" s="42">
        <v>0.5</v>
      </c>
      <c r="J379" s="43">
        <f t="shared" ca="1" si="72"/>
        <v>3.5103386409353146</v>
      </c>
      <c r="K379" s="43">
        <f t="shared" ca="1" si="73"/>
        <v>-95.516021685256121</v>
      </c>
      <c r="L379" s="42">
        <f t="shared" si="65"/>
        <v>5.0543878905253644E-18</v>
      </c>
      <c r="M379" s="42">
        <f ca="1">K379-D379</f>
        <v>0.48159515073440673</v>
      </c>
      <c r="N379" s="42">
        <f t="shared" ca="1" si="74"/>
        <v>9.5282586371571232E+16</v>
      </c>
      <c r="O379" s="42">
        <f t="shared" ca="1" si="75"/>
        <v>0</v>
      </c>
      <c r="P379" s="42">
        <f t="shared" ca="1" si="76"/>
        <v>0.98610505023978201</v>
      </c>
      <c r="Q379" s="44">
        <f ca="1">IF(M379&lt;0,G379,IF(P379&lt;O379,G379,B379))</f>
        <v>7.9829166135929137</v>
      </c>
      <c r="R379" s="44">
        <f ca="1">IF(N379&lt;0,J379,IF(P379&lt;O379,J379,C379))</f>
        <v>3.9676633186741719</v>
      </c>
      <c r="S379" s="44">
        <f t="shared" ca="1" si="77"/>
        <v>-95.997616835990527</v>
      </c>
    </row>
    <row r="380" spans="1:19" x14ac:dyDescent="0.4">
      <c r="A380" s="42">
        <v>379</v>
      </c>
      <c r="B380" s="41">
        <f t="shared" ca="1" si="66"/>
        <v>7.9829166135929137</v>
      </c>
      <c r="C380" s="41">
        <f t="shared" ca="1" si="67"/>
        <v>3.9676633186741719</v>
      </c>
      <c r="D380" s="41">
        <f t="shared" ca="1" si="68"/>
        <v>-95.997616835990527</v>
      </c>
      <c r="E380" s="42">
        <f t="shared" ca="1" si="69"/>
        <v>0.86446298594370252</v>
      </c>
      <c r="F380" s="42">
        <v>0.5</v>
      </c>
      <c r="G380" s="43">
        <f t="shared" ca="1" si="70"/>
        <v>8.4151481065647644</v>
      </c>
      <c r="H380" s="42">
        <f t="shared" ca="1" si="71"/>
        <v>-6.2835479051092546E-2</v>
      </c>
      <c r="I380" s="42">
        <v>0.5</v>
      </c>
      <c r="J380" s="43">
        <f t="shared" ca="1" si="72"/>
        <v>3.9362455791486255</v>
      </c>
      <c r="K380" s="43">
        <f t="shared" ca="1" si="73"/>
        <v>-95.819522797259509</v>
      </c>
      <c r="L380" s="42">
        <f t="shared" si="65"/>
        <v>4.5489491014728281E-18</v>
      </c>
      <c r="M380" s="42">
        <f ca="1">K380-D380</f>
        <v>0.17809403873101814</v>
      </c>
      <c r="N380" s="42">
        <f t="shared" ca="1" si="74"/>
        <v>3.9150589456662872E+16</v>
      </c>
      <c r="O380" s="42">
        <f t="shared" ca="1" si="75"/>
        <v>0</v>
      </c>
      <c r="P380" s="42">
        <f t="shared" ca="1" si="76"/>
        <v>6.5086278361355054E-2</v>
      </c>
      <c r="Q380" s="44">
        <f ca="1">IF(M380&lt;0,G380,IF(P380&lt;O380,G380,B380))</f>
        <v>7.9829166135929137</v>
      </c>
      <c r="R380" s="44">
        <f ca="1">IF(N380&lt;0,J380,IF(P380&lt;O380,J380,C380))</f>
        <v>3.9676633186741719</v>
      </c>
      <c r="S380" s="44">
        <f t="shared" ca="1" si="77"/>
        <v>-95.997616835990527</v>
      </c>
    </row>
    <row r="381" spans="1:19" x14ac:dyDescent="0.4">
      <c r="A381" s="42">
        <v>380</v>
      </c>
      <c r="B381" s="41">
        <f t="shared" ca="1" si="66"/>
        <v>7.9829166135929137</v>
      </c>
      <c r="C381" s="41">
        <f t="shared" ca="1" si="67"/>
        <v>3.9676633186741719</v>
      </c>
      <c r="D381" s="41">
        <f t="shared" ca="1" si="68"/>
        <v>-95.997616835990527</v>
      </c>
      <c r="E381" s="42">
        <f t="shared" ca="1" si="69"/>
        <v>0.57797991790010883</v>
      </c>
      <c r="F381" s="42">
        <v>0.5</v>
      </c>
      <c r="G381" s="43">
        <f t="shared" ca="1" si="70"/>
        <v>8.2719065725429672</v>
      </c>
      <c r="H381" s="42">
        <f t="shared" ca="1" si="71"/>
        <v>-0.81531191304964867</v>
      </c>
      <c r="I381" s="42">
        <v>0.5</v>
      </c>
      <c r="J381" s="43">
        <f t="shared" ca="1" si="72"/>
        <v>3.5600073621493475</v>
      </c>
      <c r="K381" s="43">
        <f t="shared" ca="1" si="73"/>
        <v>-95.538879773082385</v>
      </c>
      <c r="L381" s="42">
        <f t="shared" si="65"/>
        <v>4.0940541913255459E-18</v>
      </c>
      <c r="M381" s="42">
        <f ca="1">K381-D381</f>
        <v>0.45873706290814198</v>
      </c>
      <c r="N381" s="42">
        <f t="shared" ca="1" si="74"/>
        <v>1.1204958250921811E+17</v>
      </c>
      <c r="O381" s="42">
        <f t="shared" ca="1" si="75"/>
        <v>0</v>
      </c>
      <c r="P381" s="42">
        <f t="shared" ca="1" si="76"/>
        <v>0.35856588532583467</v>
      </c>
      <c r="Q381" s="44">
        <f ca="1">IF(M381&lt;0,G381,IF(P381&lt;O381,G381,B381))</f>
        <v>7.9829166135929137</v>
      </c>
      <c r="R381" s="44">
        <f ca="1">IF(N381&lt;0,J381,IF(P381&lt;O381,J381,C381))</f>
        <v>3.9676633186741719</v>
      </c>
      <c r="S381" s="44">
        <f t="shared" ca="1" si="77"/>
        <v>-95.997616835990527</v>
      </c>
    </row>
    <row r="382" spans="1:19" x14ac:dyDescent="0.4">
      <c r="A382" s="42">
        <v>381</v>
      </c>
      <c r="B382" s="41">
        <f t="shared" ca="1" si="66"/>
        <v>7.9829166135929137</v>
      </c>
      <c r="C382" s="41">
        <f t="shared" ca="1" si="67"/>
        <v>3.9676633186741719</v>
      </c>
      <c r="D382" s="41">
        <f t="shared" ca="1" si="68"/>
        <v>-95.997616835990527</v>
      </c>
      <c r="E382" s="42">
        <f t="shared" ca="1" si="69"/>
        <v>-0.60968278360161365</v>
      </c>
      <c r="F382" s="42">
        <v>0.5</v>
      </c>
      <c r="G382" s="43">
        <f t="shared" ca="1" si="70"/>
        <v>7.6780752217921071</v>
      </c>
      <c r="H382" s="42">
        <f t="shared" ca="1" si="71"/>
        <v>0.45592987543709951</v>
      </c>
      <c r="I382" s="42">
        <v>0.5</v>
      </c>
      <c r="J382" s="43">
        <f t="shared" ca="1" si="72"/>
        <v>4.1956282563927214</v>
      </c>
      <c r="K382" s="43">
        <f t="shared" ca="1" si="73"/>
        <v>-95.819823607777295</v>
      </c>
      <c r="L382" s="42">
        <f t="shared" si="65"/>
        <v>3.6846487721929916E-18</v>
      </c>
      <c r="M382" s="42">
        <f ca="1">K382-D382</f>
        <v>0.17779322821323262</v>
      </c>
      <c r="N382" s="42">
        <f t="shared" ca="1" si="74"/>
        <v>4.8252422199637624E+16</v>
      </c>
      <c r="O382" s="42">
        <f t="shared" ca="1" si="75"/>
        <v>0</v>
      </c>
      <c r="P382" s="42">
        <f t="shared" ca="1" si="76"/>
        <v>0.3527650046706976</v>
      </c>
      <c r="Q382" s="44">
        <f ca="1">IF(M382&lt;0,G382,IF(P382&lt;O382,G382,B382))</f>
        <v>7.9829166135929137</v>
      </c>
      <c r="R382" s="44">
        <f ca="1">IF(N382&lt;0,J382,IF(P382&lt;O382,J382,C382))</f>
        <v>3.9676633186741719</v>
      </c>
      <c r="S382" s="44">
        <f t="shared" ca="1" si="77"/>
        <v>-95.997616835990527</v>
      </c>
    </row>
    <row r="383" spans="1:19" x14ac:dyDescent="0.4">
      <c r="A383" s="42">
        <v>382</v>
      </c>
      <c r="B383" s="41">
        <f t="shared" ca="1" si="66"/>
        <v>7.9829166135929137</v>
      </c>
      <c r="C383" s="41">
        <f t="shared" ca="1" si="67"/>
        <v>3.9676633186741719</v>
      </c>
      <c r="D383" s="41">
        <f t="shared" ca="1" si="68"/>
        <v>-95.997616835990527</v>
      </c>
      <c r="E383" s="42">
        <f t="shared" ca="1" si="69"/>
        <v>-0.16580705217479808</v>
      </c>
      <c r="F383" s="42">
        <v>0.5</v>
      </c>
      <c r="G383" s="43">
        <f t="shared" ca="1" si="70"/>
        <v>7.9000130875055143</v>
      </c>
      <c r="H383" s="42">
        <f t="shared" ca="1" si="71"/>
        <v>-0.26332974822776789</v>
      </c>
      <c r="I383" s="42">
        <v>0.5</v>
      </c>
      <c r="J383" s="43">
        <f t="shared" ca="1" si="72"/>
        <v>3.8359984445602882</v>
      </c>
      <c r="K383" s="43">
        <f t="shared" ca="1" si="73"/>
        <v>-95.93620959695653</v>
      </c>
      <c r="L383" s="42">
        <f t="shared" si="65"/>
        <v>3.3161838949736928E-18</v>
      </c>
      <c r="M383" s="42">
        <f ca="1">K383-D383</f>
        <v>6.140723903399703E-2</v>
      </c>
      <c r="N383" s="42">
        <f t="shared" ca="1" si="74"/>
        <v>1.8517440823191796E+16</v>
      </c>
      <c r="O383" s="42">
        <f t="shared" ca="1" si="75"/>
        <v>0</v>
      </c>
      <c r="P383" s="42">
        <f t="shared" ca="1" si="76"/>
        <v>0.33744737722990137</v>
      </c>
      <c r="Q383" s="44">
        <f ca="1">IF(M383&lt;0,G383,IF(P383&lt;O383,G383,B383))</f>
        <v>7.9829166135929137</v>
      </c>
      <c r="R383" s="44">
        <f ca="1">IF(N383&lt;0,J383,IF(P383&lt;O383,J383,C383))</f>
        <v>3.9676633186741719</v>
      </c>
      <c r="S383" s="44">
        <f t="shared" ca="1" si="77"/>
        <v>-95.997616835990527</v>
      </c>
    </row>
    <row r="384" spans="1:19" x14ac:dyDescent="0.4">
      <c r="A384" s="42">
        <v>383</v>
      </c>
      <c r="B384" s="41">
        <f t="shared" ca="1" si="66"/>
        <v>7.9829166135929137</v>
      </c>
      <c r="C384" s="41">
        <f t="shared" ca="1" si="67"/>
        <v>3.9676633186741719</v>
      </c>
      <c r="D384" s="41">
        <f t="shared" ca="1" si="68"/>
        <v>-95.997616835990527</v>
      </c>
      <c r="E384" s="42">
        <f t="shared" ca="1" si="69"/>
        <v>-0.78567783488678389</v>
      </c>
      <c r="F384" s="42">
        <v>0.5</v>
      </c>
      <c r="G384" s="43">
        <f t="shared" ca="1" si="70"/>
        <v>7.590077696149522</v>
      </c>
      <c r="H384" s="42">
        <f t="shared" ca="1" si="71"/>
        <v>-0.13834807767142343</v>
      </c>
      <c r="I384" s="42">
        <v>0.5</v>
      </c>
      <c r="J384" s="43">
        <f t="shared" ca="1" si="72"/>
        <v>3.8984892798384601</v>
      </c>
      <c r="K384" s="43">
        <f t="shared" ca="1" si="73"/>
        <v>-95.811354852190476</v>
      </c>
      <c r="L384" s="42">
        <f t="shared" si="65"/>
        <v>2.984565505476323E-18</v>
      </c>
      <c r="M384" s="42">
        <f ca="1">K384-D384</f>
        <v>0.18626198380005121</v>
      </c>
      <c r="N384" s="42">
        <f t="shared" ca="1" si="74"/>
        <v>6.2408408680688232E+16</v>
      </c>
      <c r="O384" s="42">
        <f t="shared" ca="1" si="75"/>
        <v>0</v>
      </c>
      <c r="P384" s="42">
        <f t="shared" ca="1" si="76"/>
        <v>0.85290588229065634</v>
      </c>
      <c r="Q384" s="44">
        <f ca="1">IF(M384&lt;0,G384,IF(P384&lt;O384,G384,B384))</f>
        <v>7.9829166135929137</v>
      </c>
      <c r="R384" s="44">
        <f ca="1">IF(N384&lt;0,J384,IF(P384&lt;O384,J384,C384))</f>
        <v>3.9676633186741719</v>
      </c>
      <c r="S384" s="44">
        <f t="shared" ca="1" si="77"/>
        <v>-95.997616835990527</v>
      </c>
    </row>
    <row r="385" spans="1:19" x14ac:dyDescent="0.4">
      <c r="A385" s="42">
        <v>384</v>
      </c>
      <c r="B385" s="41">
        <f t="shared" ca="1" si="66"/>
        <v>7.9829166135929137</v>
      </c>
      <c r="C385" s="41">
        <f t="shared" ca="1" si="67"/>
        <v>3.9676633186741719</v>
      </c>
      <c r="D385" s="41">
        <f t="shared" ca="1" si="68"/>
        <v>-95.997616835990527</v>
      </c>
      <c r="E385" s="42">
        <f t="shared" ca="1" si="69"/>
        <v>0.41244318936699975</v>
      </c>
      <c r="F385" s="42">
        <v>0.5</v>
      </c>
      <c r="G385" s="43">
        <f t="shared" ca="1" si="70"/>
        <v>8.1891382082764128</v>
      </c>
      <c r="H385" s="42">
        <f t="shared" ca="1" si="71"/>
        <v>-0.29902686502128639</v>
      </c>
      <c r="I385" s="42">
        <v>0.5</v>
      </c>
      <c r="J385" s="43">
        <f t="shared" ca="1" si="72"/>
        <v>3.8181498861635288</v>
      </c>
      <c r="K385" s="43">
        <f t="shared" ca="1" si="73"/>
        <v>-95.898087810365297</v>
      </c>
      <c r="L385" s="42">
        <f t="shared" si="65"/>
        <v>2.6861089549286908E-18</v>
      </c>
      <c r="M385" s="42">
        <f ca="1">K385-D385</f>
        <v>9.9529025625230361E-2</v>
      </c>
      <c r="N385" s="42">
        <f t="shared" ca="1" si="74"/>
        <v>3.7053234732942024E+16</v>
      </c>
      <c r="O385" s="42">
        <f t="shared" ca="1" si="75"/>
        <v>0</v>
      </c>
      <c r="P385" s="42">
        <f t="shared" ca="1" si="76"/>
        <v>0.90684959460645986</v>
      </c>
      <c r="Q385" s="44">
        <f ca="1">IF(M385&lt;0,G385,IF(P385&lt;O385,G385,B385))</f>
        <v>7.9829166135929137</v>
      </c>
      <c r="R385" s="44">
        <f ca="1">IF(N385&lt;0,J385,IF(P385&lt;O385,J385,C385))</f>
        <v>3.9676633186741719</v>
      </c>
      <c r="S385" s="44">
        <f t="shared" ca="1" si="77"/>
        <v>-95.997616835990527</v>
      </c>
    </row>
    <row r="386" spans="1:19" x14ac:dyDescent="0.4">
      <c r="A386" s="42">
        <v>385</v>
      </c>
      <c r="B386" s="41">
        <f t="shared" ca="1" si="66"/>
        <v>7.9829166135929137</v>
      </c>
      <c r="C386" s="41">
        <f t="shared" ca="1" si="67"/>
        <v>3.9676633186741719</v>
      </c>
      <c r="D386" s="41">
        <f t="shared" ca="1" si="68"/>
        <v>-95.997616835990527</v>
      </c>
      <c r="E386" s="42">
        <f t="shared" ca="1" si="69"/>
        <v>-0.51563075727908081</v>
      </c>
      <c r="F386" s="42">
        <v>0.5</v>
      </c>
      <c r="G386" s="43">
        <f t="shared" ca="1" si="70"/>
        <v>7.7251012349533736</v>
      </c>
      <c r="H386" s="42">
        <f t="shared" ca="1" si="71"/>
        <v>-0.95266255690752755</v>
      </c>
      <c r="I386" s="42">
        <v>0.5</v>
      </c>
      <c r="J386" s="43">
        <f t="shared" ca="1" si="72"/>
        <v>3.4913320402204082</v>
      </c>
      <c r="K386" s="43">
        <f t="shared" ca="1" si="73"/>
        <v>-95.406944482363173</v>
      </c>
      <c r="L386" s="42">
        <f t="shared" si="65"/>
        <v>2.4174980594358223E-18</v>
      </c>
      <c r="M386" s="42">
        <f ca="1">K386-D386</f>
        <v>0.5906723536273546</v>
      </c>
      <c r="N386" s="42">
        <f t="shared" ca="1" si="74"/>
        <v>2.4433209008043683E+17</v>
      </c>
      <c r="O386" s="42">
        <f t="shared" ca="1" si="75"/>
        <v>0</v>
      </c>
      <c r="P386" s="42">
        <f t="shared" ca="1" si="76"/>
        <v>0.87625313142267403</v>
      </c>
      <c r="Q386" s="44">
        <f ca="1">IF(M386&lt;0,G386,IF(P386&lt;O386,G386,B386))</f>
        <v>7.9829166135929137</v>
      </c>
      <c r="R386" s="44">
        <f ca="1">IF(N386&lt;0,J386,IF(P386&lt;O386,J386,C386))</f>
        <v>3.9676633186741719</v>
      </c>
      <c r="S386" s="44">
        <f t="shared" ca="1" si="77"/>
        <v>-95.997616835990527</v>
      </c>
    </row>
    <row r="387" spans="1:19" x14ac:dyDescent="0.4">
      <c r="A387" s="42">
        <v>386</v>
      </c>
      <c r="B387" s="41">
        <f t="shared" ca="1" si="66"/>
        <v>7.9829166135929137</v>
      </c>
      <c r="C387" s="41">
        <f t="shared" ca="1" si="67"/>
        <v>3.9676633186741719</v>
      </c>
      <c r="D387" s="41">
        <f t="shared" ca="1" si="68"/>
        <v>-95.997616835990527</v>
      </c>
      <c r="E387" s="42">
        <f t="shared" ca="1" si="69"/>
        <v>0.62752055187645017</v>
      </c>
      <c r="F387" s="42">
        <v>0.5</v>
      </c>
      <c r="G387" s="43">
        <f t="shared" ca="1" si="70"/>
        <v>8.2966768895311382</v>
      </c>
      <c r="H387" s="42">
        <f t="shared" ca="1" si="71"/>
        <v>-0.14836272415865759</v>
      </c>
      <c r="I387" s="42">
        <v>0.5</v>
      </c>
      <c r="J387" s="43">
        <f t="shared" ca="1" si="72"/>
        <v>3.8934819565948429</v>
      </c>
      <c r="K387" s="43">
        <f t="shared" ca="1" si="73"/>
        <v>-95.889290636076396</v>
      </c>
      <c r="L387" s="42">
        <f t="shared" ref="L387:L389" si="78">(0.9^A387)*1</f>
        <v>2.1757482534922401E-18</v>
      </c>
      <c r="M387" s="42">
        <f ca="1">K387-D387</f>
        <v>0.10832619991413139</v>
      </c>
      <c r="N387" s="42">
        <f t="shared" ca="1" si="74"/>
        <v>4.978802108206208E+16</v>
      </c>
      <c r="O387" s="42">
        <f t="shared" ca="1" si="75"/>
        <v>0</v>
      </c>
      <c r="P387" s="42">
        <f t="shared" ca="1" si="76"/>
        <v>0.97311308485448822</v>
      </c>
      <c r="Q387" s="44">
        <f ca="1">IF(M387&lt;0,G387,IF(P387&lt;O387,G387,B387))</f>
        <v>7.9829166135929137</v>
      </c>
      <c r="R387" s="44">
        <f ca="1">IF(N387&lt;0,J387,IF(P387&lt;O387,J387,C387))</f>
        <v>3.9676633186741719</v>
      </c>
      <c r="S387" s="44">
        <f t="shared" ca="1" si="77"/>
        <v>-95.997616835990527</v>
      </c>
    </row>
    <row r="388" spans="1:19" x14ac:dyDescent="0.4">
      <c r="A388" s="42">
        <v>387</v>
      </c>
      <c r="B388" s="41">
        <f t="shared" ref="B388:B389" ca="1" si="79">Q387</f>
        <v>7.9829166135929137</v>
      </c>
      <c r="C388" s="41">
        <f t="shared" ref="C388:C389" ca="1" si="80">R387</f>
        <v>3.9676633186741719</v>
      </c>
      <c r="D388" s="41">
        <f t="shared" ref="D388:D389" ca="1" si="81">S387</f>
        <v>-95.997616835990527</v>
      </c>
      <c r="E388" s="42">
        <f t="shared" ref="E388:E389" ca="1" si="82">2*(RAND()-0.5)</f>
        <v>0.53091747264325262</v>
      </c>
      <c r="F388" s="42">
        <v>0.5</v>
      </c>
      <c r="G388" s="43">
        <f t="shared" ref="G388:G389" ca="1" si="83">B388+E388*F388</f>
        <v>8.2483753499145394</v>
      </c>
      <c r="H388" s="42">
        <f t="shared" ref="H388:H389" ca="1" si="84">2*(RAND()-0.5)</f>
        <v>0.59722895354701011</v>
      </c>
      <c r="I388" s="42">
        <v>0.5</v>
      </c>
      <c r="J388" s="43">
        <f t="shared" ref="J388:J389" ca="1" si="85">C388+H388*I388</f>
        <v>4.2662777954476772</v>
      </c>
      <c r="K388" s="43">
        <f t="shared" ref="K388:K389" ca="1" si="86">G388^2-16*G388+2*J388^2-16*J388</f>
        <v>-95.796501956857867</v>
      </c>
      <c r="L388" s="42">
        <f t="shared" si="78"/>
        <v>1.958173428143016E-18</v>
      </c>
      <c r="M388" s="42">
        <f ca="1">K388-D388</f>
        <v>0.20111487913266046</v>
      </c>
      <c r="N388" s="42">
        <f t="shared" ref="N388:N389" ca="1" si="87">M388/L388</f>
        <v>1.0270534583005891E+17</v>
      </c>
      <c r="O388" s="42">
        <f t="shared" ref="O388:O389" ca="1" si="88">IF(M388&lt;0,1,EXP(-N388))</f>
        <v>0</v>
      </c>
      <c r="P388" s="42">
        <f t="shared" ref="P388:P389" ca="1" si="89">RAND()</f>
        <v>0.29520578145638132</v>
      </c>
      <c r="Q388" s="44">
        <f ca="1">IF(M388&lt;0,G388,IF(P388&lt;O388,G388,B388))</f>
        <v>7.9829166135929137</v>
      </c>
      <c r="R388" s="44">
        <f ca="1">IF(N388&lt;0,J388,IF(P388&lt;O388,J388,C388))</f>
        <v>3.9676633186741719</v>
      </c>
      <c r="S388" s="44">
        <f t="shared" ref="S388:S389" ca="1" si="90">Q388^2-16*Q388+2*R388^2-16*R388</f>
        <v>-95.997616835990527</v>
      </c>
    </row>
    <row r="389" spans="1:19" x14ac:dyDescent="0.4">
      <c r="A389" s="42">
        <v>388</v>
      </c>
      <c r="B389" s="41">
        <f t="shared" ca="1" si="79"/>
        <v>7.9829166135929137</v>
      </c>
      <c r="C389" s="41">
        <f t="shared" ca="1" si="80"/>
        <v>3.9676633186741719</v>
      </c>
      <c r="D389" s="41">
        <f t="shared" ca="1" si="81"/>
        <v>-95.997616835990527</v>
      </c>
      <c r="E389" s="42">
        <f t="shared" ca="1" si="82"/>
        <v>-0.22678194047024003</v>
      </c>
      <c r="F389" s="42">
        <v>0.5</v>
      </c>
      <c r="G389" s="43">
        <f t="shared" ca="1" si="83"/>
        <v>7.869525643357794</v>
      </c>
      <c r="H389" s="42">
        <f t="shared" ca="1" si="84"/>
        <v>0.93981492802804878</v>
      </c>
      <c r="I389" s="42">
        <v>0.5</v>
      </c>
      <c r="J389" s="43">
        <f t="shared" ca="1" si="85"/>
        <v>4.437570782688196</v>
      </c>
      <c r="K389" s="43">
        <f t="shared" ca="1" si="86"/>
        <v>-95.600040062534077</v>
      </c>
      <c r="L389" s="42">
        <f t="shared" si="78"/>
        <v>1.7623560853287143E-18</v>
      </c>
      <c r="M389" s="42">
        <f ca="1">K389-D389</f>
        <v>0.39757677345644993</v>
      </c>
      <c r="N389" s="42">
        <f t="shared" ca="1" si="87"/>
        <v>2.2559389488095078E+17</v>
      </c>
      <c r="O389" s="42">
        <f t="shared" ca="1" si="88"/>
        <v>0</v>
      </c>
      <c r="P389" s="42">
        <f t="shared" ca="1" si="89"/>
        <v>0.73212370300484886</v>
      </c>
      <c r="Q389" s="44">
        <f ca="1">IF(M389&lt;0,G389,IF(P389&lt;O389,G389,B389))</f>
        <v>7.9829166135929137</v>
      </c>
      <c r="R389" s="44">
        <f ca="1">IF(N389&lt;0,J389,IF(P389&lt;O389,J389,C389))</f>
        <v>3.9676633186741719</v>
      </c>
      <c r="S389" s="44">
        <f t="shared" ca="1" si="90"/>
        <v>-95.997616835990527</v>
      </c>
    </row>
  </sheetData>
  <phoneticPr fontId="1"/>
  <conditionalFormatting sqref="M1:M2 M390:M1048576">
    <cfRule type="cellIs" dxfId="5" priority="9" operator="lessThan">
      <formula>0</formula>
    </cfRule>
    <cfRule type="cellIs" dxfId="4" priority="10" operator="lessThan">
      <formula>-146.9</formula>
    </cfRule>
  </conditionalFormatting>
  <conditionalFormatting sqref="M3">
    <cfRule type="cellIs" dxfId="3" priority="3" operator="lessThan">
      <formula>0</formula>
    </cfRule>
    <cfRule type="cellIs" dxfId="2" priority="4" operator="lessThan">
      <formula>-146.9</formula>
    </cfRule>
  </conditionalFormatting>
  <conditionalFormatting sqref="M4:M389">
    <cfRule type="cellIs" dxfId="1" priority="1" operator="lessThan">
      <formula>0</formula>
    </cfRule>
    <cfRule type="cellIs" dxfId="0" priority="2" operator="lessThan">
      <formula>-146.9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function</vt:lpstr>
      <vt:lpstr>GM(0)</vt:lpstr>
      <vt:lpstr>GM(1)</vt:lpstr>
      <vt:lpstr>GM(2)</vt:lpstr>
      <vt:lpstr>GM(3)</vt:lpstr>
      <vt:lpstr>GM(4)</vt:lpstr>
      <vt:lpstr>GM(5)</vt:lpstr>
      <vt:lpstr>example2</vt:lpstr>
      <vt:lpstr>SA(1)</vt:lpstr>
      <vt:lpstr>exp</vt:lpstr>
      <vt:lpstr>SA(2)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</dc:creator>
  <cp:lastModifiedBy>Akira</cp:lastModifiedBy>
  <dcterms:created xsi:type="dcterms:W3CDTF">2018-04-16T08:16:36Z</dcterms:created>
  <dcterms:modified xsi:type="dcterms:W3CDTF">2018-04-21T05:16:27Z</dcterms:modified>
</cp:coreProperties>
</file>